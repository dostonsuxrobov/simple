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 date1904="0"/>
  <bookViews>
    <workbookView xWindow="0" yWindow="0" windowWidth="12000" windowHeight="24000" firstSheet="0" activeTab="0"/>
  </bookViews>
  <sheets>
    <sheet sheetId="1" name="Summary" state="visible" r:id="rId4"/>
    <sheet sheetId="2" name="Transactions" state="visible" r:id="rId5"/>
    <sheet sheetId="3" name="Inputs &amp; notes" state="visible" r:id="rId6"/>
    <sheet sheetId="4" name="Audit hidden" state="hidden" r:id="rId7"/>
  </sheets>
  <definedNames>
    <definedName name="_xlnm.Print_Area" localSheetId="0">'Summary'!$A$1:$F$20</definedName>
    <definedName name="_xlnm.Print_Area" localSheetId="1">'Transactions'!$A$1:$H$63</definedName>
    <definedName name="_xlnm.Print_Titles" localSheetId="1">'Transactions'!$3:$3</definedName>
    <definedName name="_xlnm.Print_Area" localSheetId="2">'Inputs &amp; notes'!$A$1:$F$20</definedName>
  </definedNames>
  <calcPr calcId="171027" fullCalcOnLoad="1" forceFullCalc="1" calcMode="auto"/>
</workbook>
</file>

<file path=xl/sharedStrings.xml><?xml version="1.0" encoding="utf-8"?>
<sst xmlns="http://schemas.openxmlformats.org/spreadsheetml/2006/main" count="441" uniqueCount="244">
  <si>
    <t>Quarterly operations</t>
  </si>
  <si>
    <t>Transactions</t>
  </si>
  <si>
    <t>Net total</t>
  </si>
  <si>
    <t>Tax total</t>
  </si>
  <si>
    <t>Gross total</t>
  </si>
  <si>
    <t>North net</t>
  </si>
  <si>
    <t>Reconciliation</t>
  </si>
  <si>
    <t>Blank result</t>
  </si>
  <si>
    <t>Handled input error</t>
  </si>
  <si>
    <t>This synthetic workbook checks linked calculations, readable imported geometry, and export fidelity. The paragraph must remain completely visible across three merged rows. Final sentence: the complete paragraph is retained.</t>
  </si>
  <si>
    <t>Prepared by</t>
  </si>
  <si>
    <t>Reviewed by</t>
  </si>
  <si>
    <t/>
  </si>
  <si>
    <t>Transaction detail</t>
  </si>
  <si>
    <t>Invoice</t>
  </si>
  <si>
    <t>Date</t>
  </si>
  <si>
    <t>Region</t>
  </si>
  <si>
    <t>Quantity</t>
  </si>
  <si>
    <t>Unit price</t>
  </si>
  <si>
    <t>Net</t>
  </si>
  <si>
    <t>Tax</t>
  </si>
  <si>
    <t>Gross</t>
  </si>
  <si>
    <t>INV-00001</t>
  </si>
  <si>
    <t>North</t>
  </si>
  <si>
    <t>INV-00002</t>
  </si>
  <si>
    <t>South</t>
  </si>
  <si>
    <t>INV-00003</t>
  </si>
  <si>
    <t>East</t>
  </si>
  <si>
    <t>INV-00004</t>
  </si>
  <si>
    <t>West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</si>
  <si>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</si>
  <si>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</si>
  <si>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</si>
  <si>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</si>
  <si>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</si>
  <si>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</si>
  <si>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</si>
  <si>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</si>
  <si>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</si>
  <si>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</si>
  <si>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</si>
  <si>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</si>
  <si>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</si>
  <si>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</si>
  <si>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</si>
  <si>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</si>
  <si>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</si>
  <si>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</si>
  <si>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</si>
  <si>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</si>
  <si>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</si>
  <si>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</si>
  <si>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</si>
  <si>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</si>
  <si>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</si>
  <si>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</si>
  <si>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</si>
  <si>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</si>
  <si>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</si>
  <si>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</si>
  <si>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</si>
  <si>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</si>
  <si>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</si>
  <si>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</si>
  <si>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</si>
  <si>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</si>
  <si>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</si>
  <si>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</si>
  <si>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</si>
  <si>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</si>
  <si>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</si>
  <si>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</si>
  <si>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</si>
  <si>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</si>
  <si>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</si>
  <si>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</si>
  <si>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</si>
  <si>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</si>
  <si>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</si>
  <si>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</si>
  <si>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</si>
  <si>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</si>
  <si>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</si>
  <si>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</si>
  <si>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</si>
  <si>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</si>
  <si>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</si>
  <si>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</si>
  <si>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</si>
  <si>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</si>
  <si>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</si>
  <si>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</si>
  <si>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</si>
  <si>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</si>
  <si>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</si>
  <si>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</si>
  <si>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</si>
  <si>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</si>
  <si>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</si>
  <si>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</si>
  <si>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</si>
  <si>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</si>
  <si>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</si>
  <si>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</si>
  <si>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</si>
  <si>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</si>
  <si>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</si>
  <si>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</si>
  <si>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</si>
  <si>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</si>
  <si>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</si>
  <si>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</si>
  <si>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</si>
  <si>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</si>
  <si>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</si>
  <si>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</si>
  <si>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</si>
  <si>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</si>
  <si>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</si>
  <si>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</si>
  <si>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</si>
  <si>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</si>
  <si>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</si>
  <si>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</si>
  <si>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</si>
  <si>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</si>
  <si>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</si>
  <si>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</si>
  <si>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</si>
  <si>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</si>
  <si>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</si>
  <si>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</si>
  <si>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</si>
  <si>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</si>
  <si>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</si>
  <si>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</si>
  <si>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</si>
  <si>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</si>
  <si>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</si>
  <si>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</si>
  <si>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</si>
  <si>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</si>
  <si>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</si>
  <si>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</si>
  <si>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</si>
  <si>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</si>
  <si>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</si>
  <si>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</si>
  <si>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</si>
  <si>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</si>
  <si>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</si>
  <si>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</si>
  <si>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</si>
  <si>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</si>
  <si>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</si>
  <si>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</si>
  <si>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</si>
  <si>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</si>
  <si>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</si>
  <si>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</si>
  <si>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</si>
  <si>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</si>
  <si>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</si>
  <si>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</si>
  <si>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</si>
  <si>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</si>
  <si>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</si>
  <si>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</si>
  <si>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</si>
  <si>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</si>
  <si>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</si>
  <si>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</si>
  <si>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</si>
  <si>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</si>
  <si>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</si>
  <si>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</si>
  <si>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</si>
  <si>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</si>
  <si>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</si>
  <si>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</si>
  <si>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</si>
  <si>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</si>
  <si>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</si>
  <si>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</si>
  <si>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</si>
  <si>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</si>
  <si>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</si>
  <si>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</si>
  <si>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</si>
  <si>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</si>
  <si>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</si>
  <si>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</si>
  <si>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</si>
  <si>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</si>
  <si>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</si>
  <si>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</si>
  <si>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</si>
  <si>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</si>
  <si>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</si>
  <si>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</si>
  <si>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</si>
  <si>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</si>
  <si>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</si>
  <si>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</si>
  <si>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</si>
  <si>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</si>
  <si>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</si>
  <si>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</si>
  <si>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</si>
  <si>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</si>
  <si>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</si>
  <si>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</si>
  <si>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</si>
  <si>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</si>
  <si>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</si>
  <si>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</si>
  <si>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</si>
  <si>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</si>
  <si>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</si>
  <si>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</si>
  <si>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</si>
  <si>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</si>
  <si>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</si>
  <si>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</si>
  <si>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</si>
  <si>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</si>
  <si>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Inputs and layout checks</t>
  </si>
  <si>
    <t>Tax rate</t>
  </si>
  <si>
    <t>Japanese</t>
  </si>
  <si>
    <t>請求書と支払い — 日本語の確認</t>
  </si>
  <si>
    <t>Arabic</t>
  </si>
  <si>
    <t>فاتورة تجريبية باللغة العربية</t>
  </si>
  <si>
    <t>Accents</t>
  </si>
  <si>
    <t>Crème brûlée · é · €1.234,56 · 🧾</t>
  </si>
  <si>
    <t>Tight row</t>
  </si>
  <si>
    <t>Top alignment</t>
  </si>
  <si>
    <t>Identifier as text</t>
  </si>
  <si>
    <t>00001234567890123456</t>
  </si>
  <si>
    <t>Native error cell</t>
  </si>
  <si>
    <t>Boolean</t>
  </si>
  <si>
    <t>CSV quoting</t>
  </si>
  <si>
    <t xml:space="preserve">Comma, quote " and
new line</t>
  </si>
  <si>
    <t xml:space="preserve">Long merged text with an explicit line break.
The final line must remain inside the merged range when printing and exporting. Complete final line.</t>
  </si>
  <si>
    <t>HIDDEN_AUDIT_SENTINEL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</si>
</sst>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$* #,##0.00_);_($* (#,##0.00);_($* &quot;-&quot;??_);_(@_)"/>
    <numFmt numFmtId="165" formatCode="yyyy-mm-dd"/>
  </numFmts>
  <fonts count="11">
    <font>
      <color theme="1"/>
      <family val="2"/>
      <scheme val="minor"/>
      <sz val="11"/>
      <name val="Calibri"/>
    </font>
    <font>
      <b/>
      <color rgb="FFFFFFFF"/>
      <sz val="21"/>
      <name val="Georgia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sz val="12"/>
      <name val="Yu Gothic"/>
    </font>
    <font>
      <sz val="12"/>
      <name val="Arial"/>
    </font>
    <font>
      <sz val="12"/>
      <name val="Segoe UI"/>
    </font>
    <font>
      <sz val="10"/>
      <name val="Cambria"/>
    </font>
    <font>
      <sz val="11"/>
      <name val="Arial"/>
    </font>
    <font>
      <name val="Arial"/>
      <sz val="10"/>
    </font>
  </fonts>
  <fills count="5">
    <fill>
      <patternFill patternType="none"/>
    </fill>
    <fill>
      <patternFill patternType="gray125"/>
    </fill>
    <fill>
      <patternFill patternType="solid">
        <fgColor rgb="FF234E42"/>
      </patternFill>
    </fill>
    <fill>
      <patternFill patternType="solid">
        <fgColor rgb="FF40715C"/>
      </patternFill>
    </fill>
    <fill>
      <patternFill patternType="solid">
        <fgColor rgb="FFEAF1ED"/>
      </patternFill>
    </fill>
  </fills>
  <borders count="3">
    <border>
      <left/>
      <right/>
      <top/>
      <bottom/>
      <diagonal/>
    </border>
    <border>
      <left style="thin">
        <color rgb="FF80968C"/>
      </left>
      <right style="thin">
        <color rgb="FF80968C"/>
      </right>
      <top style="thin">
        <color rgb="FF80968C"/>
      </top>
      <bottom style="thin">
        <color rgb="FF80968C"/>
      </bottom>
      <diagonal/>
    </border>
    <border>
      <left/>
      <right/>
      <top/>
      <bottom style="thin">
        <color rgb="FF80968C"/>
      </bottom>
      <diagonal/>
    </border>
  </borders>
  <cellStyleXfs count="1">
    <xf numFmtId="0" fontId="1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/>
    </xf>
    <xf numFmtId="4" fontId="8" fillId="0" borderId="0" xfId="0" applyNumberFormat="1" applyFont="1" applyAlignment="1">
      <alignment vertical="bottom"/>
    </xf>
    <xf numFmtId="4" fontId="9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8" outlineLevelRow="0" outlineLevelCol="0" x14ac:dyDescent="55" defaultColWidth="12" customHeight="1"/>
  <cols>
    <col min="1" max="1" width="28" customWidth="1"/>
    <col min="2" max="2" width="18" customWidth="1"/>
    <col min="3" max="3" width="12" customWidth="1"/>
    <col min="4" max="4" width="16" customWidth="1"/>
    <col min="5" max="6" width="12" customWidth="1"/>
  </cols>
  <sheetData>
    <row r="1" ht="23" customHeight="1" spans="1:6" x14ac:dyDescent="0.25">
      <c r="A1" s="1" t="s">
        <v>0</v>
      </c>
      <c r="B1" s="1"/>
      <c r="C1" s="1"/>
      <c r="D1" s="1"/>
      <c r="E1" s="1"/>
      <c r="F1" s="1"/>
    </row>
    <row r="2" ht="23" customHeight="1" spans="1:6" x14ac:dyDescent="0.25">
      <c r="A2" s="1"/>
      <c r="B2" s="1"/>
      <c r="C2" s="1"/>
      <c r="D2" s="1"/>
      <c r="E2" s="1"/>
      <c r="F2" s="1"/>
    </row>
    <row r="3" ht="8" customHeight="1" x14ac:dyDescent="0.25"/>
    <row r="4" spans="1:2" x14ac:dyDescent="0.25">
      <c r="A4" s="2" t="s">
        <v>1</v>
      </c>
      <c r="B4" s="3">
        <f>COUNTA(Transactions!A4:A203)</f>
        <v>200</v>
      </c>
    </row>
    <row r="5" spans="1:2" x14ac:dyDescent="0.25">
      <c r="A5" s="2" t="s">
        <v>2</v>
      </c>
      <c r="B5" s="4">
        <f>SUM(Transactions!F4:F203)</f>
        <v>16490</v>
      </c>
    </row>
    <row r="6" spans="1:2" x14ac:dyDescent="0.25">
      <c r="A6" s="2" t="s">
        <v>3</v>
      </c>
      <c r="B6" s="4">
        <f>SUM(Transactions!G4:G203)</f>
        <v>1236.950000000001</v>
      </c>
    </row>
    <row r="7" spans="1:2" x14ac:dyDescent="0.25">
      <c r="A7" s="2" t="s">
        <v>4</v>
      </c>
      <c r="B7" s="4">
        <f>SUM(Transactions!H4:H203)</f>
        <v>17726.949999999993</v>
      </c>
    </row>
    <row r="8" spans="1:2" x14ac:dyDescent="0.25">
      <c r="A8" s="2" t="s">
        <v>5</v>
      </c>
      <c r="B8" s="4">
        <f>SUMIF(Transactions!C4:C203,"North",Transactions!F4:F203)</f>
        <v>4133.75</v>
      </c>
    </row>
    <row r="9" spans="1:2" x14ac:dyDescent="0.25">
      <c r="A9" s="2" t="s">
        <v>6</v>
      </c>
      <c r="B9" s="3">
        <f>ROUND(B5+B6-B7,2)</f>
        <v>0</v>
      </c>
    </row>
    <row r="10" spans="1:2" x14ac:dyDescent="0.25">
      <c r="A10" s="2" t="s">
        <v>7</v>
      </c>
      <c r="B10" s="3" t="str">
        <f>IF(B4&gt;0,"",0)</f>
        <v/>
      </c>
    </row>
    <row r="11" spans="1:2" x14ac:dyDescent="0.25">
      <c r="A11" s="2" t="s">
        <v>8</v>
      </c>
      <c r="B11" s="3">
        <f>IFERROR('Inputs &amp; notes'!B12,0)</f>
        <v>0</v>
      </c>
    </row>
    <row r="13" ht="22" customHeight="1" spans="1:6" x14ac:dyDescent="0.25">
      <c r="A13" s="5" t="s">
        <v>9</v>
      </c>
      <c r="B13" s="5"/>
      <c r="C13" s="5"/>
      <c r="D13" s="5"/>
      <c r="E13" s="5"/>
      <c r="F13" s="5"/>
    </row>
    <row r="14" ht="22" customHeight="1" spans="1:6" x14ac:dyDescent="0.25">
      <c r="A14" s="5"/>
      <c r="B14" s="5"/>
      <c r="C14" s="5"/>
      <c r="D14" s="5"/>
      <c r="E14" s="5"/>
      <c r="F14" s="5"/>
    </row>
    <row r="15" ht="22" customHeight="1" spans="1:6" x14ac:dyDescent="0.25">
      <c r="A15" s="5"/>
      <c r="B15" s="5"/>
      <c r="C15" s="5"/>
      <c r="D15" s="5"/>
      <c r="E15" s="5"/>
      <c r="F15" s="5"/>
    </row>
    <row r="17" ht="10" customHeight="1" spans="1:4" x14ac:dyDescent="0.25">
      <c r="A17" s="2" t="s">
        <v>10</v>
      </c>
      <c r="D17" s="2" t="s">
        <v>11</v>
      </c>
    </row>
    <row r="18" ht="18" customHeight="1" spans="1:6" x14ac:dyDescent="0.25">
      <c r="A18" s="6" t="s">
        <v>12</v>
      </c>
      <c r="B18" s="6"/>
      <c r="C18" s="6"/>
      <c r="D18" s="6" t="s">
        <v>12</v>
      </c>
      <c r="E18" s="6"/>
      <c r="F18" s="6"/>
    </row>
    <row r="19" ht="18" customHeight="1" spans="1:6" x14ac:dyDescent="0.25">
      <c r="A19" s="6"/>
      <c r="B19" s="6"/>
      <c r="C19" s="6"/>
      <c r="D19" s="6"/>
      <c r="E19" s="6"/>
      <c r="F19" s="6"/>
    </row>
  </sheetData>
  <mergeCells count="4">
    <mergeCell ref="A1:F2"/>
    <mergeCell ref="A13:F15"/>
    <mergeCell ref="A18:C19"/>
    <mergeCell ref="D18:F19"/>
  </mergeCells>
  <pageMargins left="0.4" right="0.4" top="0.6" bottom="0.6" header="0.2" footer="0.2"/>
  <pageSetup paperSize="9" orientation="portrait" horizontalDpi="4294967295" verticalDpi="4294967295" scale="100" fitToWidth="1" fitToHeight="0" copies="1"/>
  <headerFooter>
    <oddHeader>&amp;LComplex workbook test&amp;R&amp;A</oddHeader>
    <oddFooter>&amp;LConfidential sample&amp;RPage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3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8" outlineLevelRow="0" outlineLevelCol="0" x14ac:dyDescent="55" defaultColWidth="12" customHeight="1"/>
  <cols>
    <col min="1" max="1" width="15" customWidth="1"/>
    <col min="2" max="2" width="14" customWidth="1"/>
    <col min="3" max="3" width="13" customWidth="1"/>
    <col min="4" max="4" width="10" customWidth="1"/>
    <col min="5" max="5" width="13" customWidth="1"/>
    <col min="6" max="8" width="15" customWidth="1"/>
  </cols>
  <sheetData>
    <row r="1" ht="23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2" ht="23" customHeight="1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</row>
    <row r="4" spans="1:8" x14ac:dyDescent="0.25">
      <c r="A4" s="8" t="s">
        <v>22</v>
      </c>
      <c r="B4" s="9">
        <v>46023</v>
      </c>
      <c r="C4" s="8" t="s">
        <v>23</v>
      </c>
      <c r="D4" s="10">
        <v>7</v>
      </c>
      <c r="E4" s="11">
        <v>15</v>
      </c>
      <c r="F4" s="11">
        <f>D4*E4</f>
        <v>105</v>
      </c>
      <c r="G4" s="11">
        <f>ROUND(F4*'Inputs &amp; notes'!$B$3,2)</f>
        <v>7.88</v>
      </c>
      <c r="H4" s="11">
        <f>F4+G4</f>
        <v>112.88</v>
      </c>
    </row>
    <row r="5" spans="1:8" x14ac:dyDescent="0.25">
      <c r="A5" s="12" t="s">
        <v>24</v>
      </c>
      <c r="B5" s="13">
        <v>46024</v>
      </c>
      <c r="C5" s="12" t="s">
        <v>25</v>
      </c>
      <c r="D5" s="12">
        <v>6</v>
      </c>
      <c r="E5" s="14">
        <v>16.25</v>
      </c>
      <c r="F5" s="14">
        <f>D5*E5</f>
        <v>97.5</v>
      </c>
      <c r="G5" s="14">
        <f>ROUND(F5*'Inputs &amp; notes'!$B$3,2)</f>
        <v>7.31</v>
      </c>
      <c r="H5" s="14">
        <f>F5+G5</f>
        <v>104.81</v>
      </c>
    </row>
    <row r="6" spans="1:8" x14ac:dyDescent="0.25">
      <c r="A6" s="8" t="s">
        <v>26</v>
      </c>
      <c r="B6" s="9">
        <v>46025</v>
      </c>
      <c r="C6" s="8" t="s">
        <v>27</v>
      </c>
      <c r="D6" s="8">
        <v>7</v>
      </c>
      <c r="E6" s="11">
        <v>17.5</v>
      </c>
      <c r="F6" s="11">
        <f>D6*E6</f>
        <v>122.5</v>
      </c>
      <c r="G6" s="11">
        <f>ROUND(F6*'Inputs &amp; notes'!$B$3,2)</f>
        <v>9.19</v>
      </c>
      <c r="H6" s="11">
        <f>F6+G6</f>
        <v>131.69</v>
      </c>
    </row>
    <row r="7" spans="1:8" x14ac:dyDescent="0.25">
      <c r="A7" s="12" t="s">
        <v>28</v>
      </c>
      <c r="B7" s="13">
        <v>46026</v>
      </c>
      <c r="C7" s="12" t="s">
        <v>29</v>
      </c>
      <c r="D7" s="12">
        <v>8</v>
      </c>
      <c r="E7" s="14">
        <v>10</v>
      </c>
      <c r="F7" s="14">
        <f>D7*E7</f>
        <v>80</v>
      </c>
      <c r="G7" s="14">
        <f>ROUND(F7*'Inputs &amp; notes'!$B$3,2)</f>
        <v>6</v>
      </c>
      <c r="H7" s="14">
        <f>F7+G7</f>
        <v>86</v>
      </c>
    </row>
    <row r="8" spans="1:8" x14ac:dyDescent="0.25">
      <c r="A8" s="8" t="s">
        <v>30</v>
      </c>
      <c r="B8" s="9">
        <v>46027</v>
      </c>
      <c r="C8" s="8" t="s">
        <v>23</v>
      </c>
      <c r="D8" s="8">
        <v>9</v>
      </c>
      <c r="E8" s="11">
        <v>11.25</v>
      </c>
      <c r="F8" s="11">
        <f>D8*E8</f>
        <v>101.25</v>
      </c>
      <c r="G8" s="11">
        <f>ROUND(F8*'Inputs &amp; notes'!$B$3,2)</f>
        <v>7.59</v>
      </c>
      <c r="H8" s="11">
        <f>F8+G8</f>
        <v>108.84</v>
      </c>
    </row>
    <row r="9" spans="1:8" x14ac:dyDescent="0.25">
      <c r="A9" s="12" t="s">
        <v>31</v>
      </c>
      <c r="B9" s="13">
        <v>46028</v>
      </c>
      <c r="C9" s="12" t="s">
        <v>25</v>
      </c>
      <c r="D9" s="12">
        <v>10</v>
      </c>
      <c r="E9" s="14">
        <v>12.5</v>
      </c>
      <c r="F9" s="14">
        <f>D9*E9</f>
        <v>125</v>
      </c>
      <c r="G9" s="14">
        <f>ROUND(F9*'Inputs &amp; notes'!$B$3,2)</f>
        <v>9.38</v>
      </c>
      <c r="H9" s="14">
        <f>F9+G9</f>
        <v>134.38</v>
      </c>
    </row>
    <row r="10" spans="1:8" x14ac:dyDescent="0.25">
      <c r="A10" s="8" t="s">
        <v>32</v>
      </c>
      <c r="B10" s="9">
        <v>46029</v>
      </c>
      <c r="C10" s="8" t="s">
        <v>27</v>
      </c>
      <c r="D10" s="8">
        <v>11</v>
      </c>
      <c r="E10" s="11">
        <v>13.75</v>
      </c>
      <c r="F10" s="11">
        <f>D10*E10</f>
        <v>151.25</v>
      </c>
      <c r="G10" s="11">
        <f>ROUND(F10*'Inputs &amp; notes'!$B$3,2)</f>
        <v>11.34</v>
      </c>
      <c r="H10" s="11">
        <f>F10+G10</f>
        <v>162.59</v>
      </c>
    </row>
    <row r="11" spans="1:8" x14ac:dyDescent="0.25">
      <c r="A11" s="12" t="s">
        <v>33</v>
      </c>
      <c r="B11" s="13">
        <v>46030</v>
      </c>
      <c r="C11" s="12" t="s">
        <v>29</v>
      </c>
      <c r="D11" s="12">
        <v>1</v>
      </c>
      <c r="E11" s="14">
        <v>15</v>
      </c>
      <c r="F11" s="14">
        <f>D11*E11</f>
        <v>15</v>
      </c>
      <c r="G11" s="14">
        <f>ROUND(F11*'Inputs &amp; notes'!$B$3,2)</f>
        <v>1.13</v>
      </c>
      <c r="H11" s="14">
        <f>F11+G11</f>
        <v>16.13</v>
      </c>
    </row>
    <row r="12" spans="1:8" x14ac:dyDescent="0.25">
      <c r="A12" s="8" t="s">
        <v>34</v>
      </c>
      <c r="B12" s="9">
        <v>46031</v>
      </c>
      <c r="C12" s="8" t="s">
        <v>23</v>
      </c>
      <c r="D12" s="8">
        <v>2</v>
      </c>
      <c r="E12" s="11">
        <v>16.25</v>
      </c>
      <c r="F12" s="11">
        <f>D12*E12</f>
        <v>32.5</v>
      </c>
      <c r="G12" s="11">
        <f>ROUND(F12*'Inputs &amp; notes'!$B$3,2)</f>
        <v>2.44</v>
      </c>
      <c r="H12" s="11">
        <f>F12+G12</f>
        <v>34.94</v>
      </c>
    </row>
    <row r="13" spans="1:8" x14ac:dyDescent="0.25">
      <c r="A13" s="12" t="s">
        <v>35</v>
      </c>
      <c r="B13" s="13">
        <v>46032</v>
      </c>
      <c r="C13" s="12" t="s">
        <v>25</v>
      </c>
      <c r="D13" s="12">
        <v>3</v>
      </c>
      <c r="E13" s="14">
        <v>17.5</v>
      </c>
      <c r="F13" s="14">
        <f>D13*E13</f>
        <v>52.5</v>
      </c>
      <c r="G13" s="14">
        <f>ROUND(F13*'Inputs &amp; notes'!$B$3,2)</f>
        <v>3.94</v>
      </c>
      <c r="H13" s="14">
        <f>F13+G13</f>
        <v>56.44</v>
      </c>
    </row>
    <row r="14" spans="1:8" x14ac:dyDescent="0.25">
      <c r="A14" s="8" t="s">
        <v>36</v>
      </c>
      <c r="B14" s="9">
        <v>46033</v>
      </c>
      <c r="C14" s="8" t="s">
        <v>27</v>
      </c>
      <c r="D14" s="8">
        <v>4</v>
      </c>
      <c r="E14" s="11">
        <v>10</v>
      </c>
      <c r="F14" s="11">
        <f>D14*E14</f>
        <v>40</v>
      </c>
      <c r="G14" s="11">
        <f>ROUND(F14*'Inputs &amp; notes'!$B$3,2)</f>
        <v>3</v>
      </c>
      <c r="H14" s="11">
        <f>F14+G14</f>
        <v>43</v>
      </c>
    </row>
    <row r="15" spans="1:8" x14ac:dyDescent="0.25">
      <c r="A15" s="12" t="s">
        <v>37</v>
      </c>
      <c r="B15" s="13">
        <v>46034</v>
      </c>
      <c r="C15" s="12" t="s">
        <v>29</v>
      </c>
      <c r="D15" s="12">
        <v>5</v>
      </c>
      <c r="E15" s="14">
        <v>11.25</v>
      </c>
      <c r="F15" s="14">
        <f>D15*E15</f>
        <v>56.25</v>
      </c>
      <c r="G15" s="14">
        <f>ROUND(F15*'Inputs &amp; notes'!$B$3,2)</f>
        <v>4.22</v>
      </c>
      <c r="H15" s="14">
        <f>F15+G15</f>
        <v>60.47</v>
      </c>
    </row>
    <row r="16" spans="1:8" x14ac:dyDescent="0.25">
      <c r="A16" s="8" t="s">
        <v>38</v>
      </c>
      <c r="B16" s="9">
        <v>46035</v>
      </c>
      <c r="C16" s="8" t="s">
        <v>23</v>
      </c>
      <c r="D16" s="8">
        <v>6</v>
      </c>
      <c r="E16" s="11">
        <v>12.5</v>
      </c>
      <c r="F16" s="11">
        <f>D16*E16</f>
        <v>75</v>
      </c>
      <c r="G16" s="11">
        <f>ROUND(F16*'Inputs &amp; notes'!$B$3,2)</f>
        <v>5.63</v>
      </c>
      <c r="H16" s="11">
        <f>F16+G16</f>
        <v>80.63</v>
      </c>
    </row>
    <row r="17" spans="1:8" x14ac:dyDescent="0.25">
      <c r="A17" s="12" t="s">
        <v>39</v>
      </c>
      <c r="B17" s="13">
        <v>46036</v>
      </c>
      <c r="C17" s="12" t="s">
        <v>25</v>
      </c>
      <c r="D17" s="12">
        <v>7</v>
      </c>
      <c r="E17" s="14">
        <v>13.75</v>
      </c>
      <c r="F17" s="14">
        <f>D17*E17</f>
        <v>96.25</v>
      </c>
      <c r="G17" s="14">
        <f>ROUND(F17*'Inputs &amp; notes'!$B$3,2)</f>
        <v>7.22</v>
      </c>
      <c r="H17" s="14">
        <f>F17+G17</f>
        <v>103.47</v>
      </c>
    </row>
    <row r="18" spans="1:8" x14ac:dyDescent="0.25">
      <c r="A18" s="8" t="s">
        <v>40</v>
      </c>
      <c r="B18" s="9">
        <v>46037</v>
      </c>
      <c r="C18" s="8" t="s">
        <v>27</v>
      </c>
      <c r="D18" s="8">
        <v>8</v>
      </c>
      <c r="E18" s="11">
        <v>15</v>
      </c>
      <c r="F18" s="11">
        <f>D18*E18</f>
        <v>120</v>
      </c>
      <c r="G18" s="11">
        <f>ROUND(F18*'Inputs &amp; notes'!$B$3,2)</f>
        <v>9</v>
      </c>
      <c r="H18" s="11">
        <f>F18+G18</f>
        <v>129</v>
      </c>
    </row>
    <row r="19" spans="1:8" x14ac:dyDescent="0.25">
      <c r="A19" s="12" t="s">
        <v>41</v>
      </c>
      <c r="B19" s="13">
        <v>46038</v>
      </c>
      <c r="C19" s="12" t="s">
        <v>29</v>
      </c>
      <c r="D19" s="12">
        <v>9</v>
      </c>
      <c r="E19" s="14">
        <v>16.25</v>
      </c>
      <c r="F19" s="14">
        <f>D19*E19</f>
        <v>146.25</v>
      </c>
      <c r="G19" s="14">
        <f>ROUND(F19*'Inputs &amp; notes'!$B$3,2)</f>
        <v>10.97</v>
      </c>
      <c r="H19" s="14">
        <f>F19+G19</f>
        <v>157.22</v>
      </c>
    </row>
    <row r="20" spans="1:8" x14ac:dyDescent="0.25">
      <c r="A20" s="8" t="s">
        <v>42</v>
      </c>
      <c r="B20" s="9">
        <v>46039</v>
      </c>
      <c r="C20" s="8" t="s">
        <v>23</v>
      </c>
      <c r="D20" s="8">
        <v>10</v>
      </c>
      <c r="E20" s="11">
        <v>17.5</v>
      </c>
      <c r="F20" s="11">
        <f>D20*E20</f>
        <v>175</v>
      </c>
      <c r="G20" s="11">
        <f>ROUND(F20*'Inputs &amp; notes'!$B$3,2)</f>
        <v>13.13</v>
      </c>
      <c r="H20" s="11">
        <f>F20+G20</f>
        <v>188.13</v>
      </c>
    </row>
    <row r="21" spans="1:8" x14ac:dyDescent="0.25">
      <c r="A21" s="12" t="s">
        <v>43</v>
      </c>
      <c r="B21" s="13">
        <v>46040</v>
      </c>
      <c r="C21" s="12" t="s">
        <v>25</v>
      </c>
      <c r="D21" s="12">
        <v>11</v>
      </c>
      <c r="E21" s="14">
        <v>10</v>
      </c>
      <c r="F21" s="14">
        <f>D21*E21</f>
        <v>110</v>
      </c>
      <c r="G21" s="14">
        <f>ROUND(F21*'Inputs &amp; notes'!$B$3,2)</f>
        <v>8.25</v>
      </c>
      <c r="H21" s="14">
        <f>F21+G21</f>
        <v>118.25</v>
      </c>
    </row>
    <row r="22" spans="1:8" x14ac:dyDescent="0.25">
      <c r="A22" s="8" t="s">
        <v>44</v>
      </c>
      <c r="B22" s="9">
        <v>46041</v>
      </c>
      <c r="C22" s="8" t="s">
        <v>27</v>
      </c>
      <c r="D22" s="8">
        <v>1</v>
      </c>
      <c r="E22" s="11">
        <v>11.25</v>
      </c>
      <c r="F22" s="11">
        <f>D22*E22</f>
        <v>11.25</v>
      </c>
      <c r="G22" s="11">
        <f>ROUND(F22*'Inputs &amp; notes'!$B$3,2)</f>
        <v>0.84</v>
      </c>
      <c r="H22" s="11">
        <f>F22+G22</f>
        <v>12.09</v>
      </c>
    </row>
    <row r="23" spans="1:8" x14ac:dyDescent="0.25">
      <c r="A23" s="12" t="s">
        <v>45</v>
      </c>
      <c r="B23" s="13">
        <v>46042</v>
      </c>
      <c r="C23" s="12" t="s">
        <v>29</v>
      </c>
      <c r="D23" s="12">
        <v>2</v>
      </c>
      <c r="E23" s="14">
        <v>12.5</v>
      </c>
      <c r="F23" s="14">
        <f>D23*E23</f>
        <v>25</v>
      </c>
      <c r="G23" s="14">
        <f>ROUND(F23*'Inputs &amp; notes'!$B$3,2)</f>
        <v>1.88</v>
      </c>
      <c r="H23" s="14">
        <f>F23+G23</f>
        <v>26.88</v>
      </c>
    </row>
    <row r="24" spans="1:8" x14ac:dyDescent="0.25">
      <c r="A24" s="8" t="s">
        <v>46</v>
      </c>
      <c r="B24" s="9">
        <v>46043</v>
      </c>
      <c r="C24" s="8" t="s">
        <v>23</v>
      </c>
      <c r="D24" s="8">
        <v>3</v>
      </c>
      <c r="E24" s="11">
        <v>13.75</v>
      </c>
      <c r="F24" s="11">
        <f>D24*E24</f>
        <v>41.25</v>
      </c>
      <c r="G24" s="11">
        <f>ROUND(F24*'Inputs &amp; notes'!$B$3,2)</f>
        <v>3.09</v>
      </c>
      <c r="H24" s="11">
        <f>F24+G24</f>
        <v>44.34</v>
      </c>
    </row>
    <row r="25" spans="1:8" x14ac:dyDescent="0.25">
      <c r="A25" s="12" t="s">
        <v>47</v>
      </c>
      <c r="B25" s="13">
        <v>46044</v>
      </c>
      <c r="C25" s="12" t="s">
        <v>25</v>
      </c>
      <c r="D25" s="12">
        <v>4</v>
      </c>
      <c r="E25" s="14">
        <v>15</v>
      </c>
      <c r="F25" s="14">
        <f>D25*E25</f>
        <v>60</v>
      </c>
      <c r="G25" s="14">
        <f>ROUND(F25*'Inputs &amp; notes'!$B$3,2)</f>
        <v>4.5</v>
      </c>
      <c r="H25" s="14">
        <f>F25+G25</f>
        <v>64.5</v>
      </c>
    </row>
    <row r="26" spans="1:8" x14ac:dyDescent="0.25">
      <c r="A26" s="8" t="s">
        <v>48</v>
      </c>
      <c r="B26" s="9">
        <v>46045</v>
      </c>
      <c r="C26" s="8" t="s">
        <v>27</v>
      </c>
      <c r="D26" s="8">
        <v>5</v>
      </c>
      <c r="E26" s="11">
        <v>16.25</v>
      </c>
      <c r="F26" s="11">
        <f>D26*E26</f>
        <v>81.25</v>
      </c>
      <c r="G26" s="11">
        <f>ROUND(F26*'Inputs &amp; notes'!$B$3,2)</f>
        <v>6.09</v>
      </c>
      <c r="H26" s="11">
        <f>F26+G26</f>
        <v>87.34</v>
      </c>
    </row>
    <row r="27" spans="1:8" x14ac:dyDescent="0.25">
      <c r="A27" s="12" t="s">
        <v>49</v>
      </c>
      <c r="B27" s="13">
        <v>46046</v>
      </c>
      <c r="C27" s="12" t="s">
        <v>29</v>
      </c>
      <c r="D27" s="12">
        <v>6</v>
      </c>
      <c r="E27" s="14">
        <v>17.5</v>
      </c>
      <c r="F27" s="14">
        <f>D27*E27</f>
        <v>105</v>
      </c>
      <c r="G27" s="14">
        <f>ROUND(F27*'Inputs &amp; notes'!$B$3,2)</f>
        <v>7.88</v>
      </c>
      <c r="H27" s="14">
        <f>F27+G27</f>
        <v>112.88</v>
      </c>
    </row>
    <row r="28" spans="1:8" x14ac:dyDescent="0.25">
      <c r="A28" s="8" t="s">
        <v>50</v>
      </c>
      <c r="B28" s="9">
        <v>46047</v>
      </c>
      <c r="C28" s="8" t="s">
        <v>23</v>
      </c>
      <c r="D28" s="8">
        <v>7</v>
      </c>
      <c r="E28" s="11">
        <v>10</v>
      </c>
      <c r="F28" s="11">
        <f>D28*E28</f>
        <v>70</v>
      </c>
      <c r="G28" s="11">
        <f>ROUND(F28*'Inputs &amp; notes'!$B$3,2)</f>
        <v>5.25</v>
      </c>
      <c r="H28" s="11">
        <f>F28+G28</f>
        <v>75.25</v>
      </c>
    </row>
    <row r="29" spans="1:8" x14ac:dyDescent="0.25">
      <c r="A29" s="12" t="s">
        <v>51</v>
      </c>
      <c r="B29" s="13">
        <v>46048</v>
      </c>
      <c r="C29" s="12" t="s">
        <v>25</v>
      </c>
      <c r="D29" s="12">
        <v>8</v>
      </c>
      <c r="E29" s="14">
        <v>11.25</v>
      </c>
      <c r="F29" s="14">
        <f>D29*E29</f>
        <v>90</v>
      </c>
      <c r="G29" s="14">
        <f>ROUND(F29*'Inputs &amp; notes'!$B$3,2)</f>
        <v>6.75</v>
      </c>
      <c r="H29" s="14">
        <f>F29+G29</f>
        <v>96.75</v>
      </c>
    </row>
    <row r="30" spans="1:8" x14ac:dyDescent="0.25">
      <c r="A30" s="8" t="s">
        <v>52</v>
      </c>
      <c r="B30" s="9">
        <v>46049</v>
      </c>
      <c r="C30" s="8" t="s">
        <v>27</v>
      </c>
      <c r="D30" s="8">
        <v>9</v>
      </c>
      <c r="E30" s="11">
        <v>12.5</v>
      </c>
      <c r="F30" s="11">
        <f>D30*E30</f>
        <v>112.5</v>
      </c>
      <c r="G30" s="11">
        <f>ROUND(F30*'Inputs &amp; notes'!$B$3,2)</f>
        <v>8.44</v>
      </c>
      <c r="H30" s="11">
        <f>F30+G30</f>
        <v>120.94</v>
      </c>
    </row>
    <row r="31" spans="1:8" x14ac:dyDescent="0.25">
      <c r="A31" s="12" t="s">
        <v>53</v>
      </c>
      <c r="B31" s="13">
        <v>46050</v>
      </c>
      <c r="C31" s="12" t="s">
        <v>29</v>
      </c>
      <c r="D31" s="12">
        <v>10</v>
      </c>
      <c r="E31" s="14">
        <v>13.75</v>
      </c>
      <c r="F31" s="14">
        <f>D31*E31</f>
        <v>137.5</v>
      </c>
      <c r="G31" s="14">
        <f>ROUND(F31*'Inputs &amp; notes'!$B$3,2)</f>
        <v>10.31</v>
      </c>
      <c r="H31" s="14">
        <f>F31+G31</f>
        <v>147.81</v>
      </c>
    </row>
    <row r="32" spans="1:8" x14ac:dyDescent="0.25">
      <c r="A32" s="8" t="s">
        <v>54</v>
      </c>
      <c r="B32" s="9">
        <v>46051</v>
      </c>
      <c r="C32" s="8" t="s">
        <v>23</v>
      </c>
      <c r="D32" s="8">
        <v>11</v>
      </c>
      <c r="E32" s="11">
        <v>15</v>
      </c>
      <c r="F32" s="11">
        <f>D32*E32</f>
        <v>165</v>
      </c>
      <c r="G32" s="11">
        <f>ROUND(F32*'Inputs &amp; notes'!$B$3,2)</f>
        <v>12.38</v>
      </c>
      <c r="H32" s="11">
        <f>F32+G32</f>
        <v>177.38</v>
      </c>
    </row>
    <row r="33" spans="1:8" x14ac:dyDescent="0.25">
      <c r="A33" s="12" t="s">
        <v>55</v>
      </c>
      <c r="B33" s="13">
        <v>46052</v>
      </c>
      <c r="C33" s="12" t="s">
        <v>25</v>
      </c>
      <c r="D33" s="12">
        <v>1</v>
      </c>
      <c r="E33" s="14">
        <v>16.25</v>
      </c>
      <c r="F33" s="14">
        <f>D33*E33</f>
        <v>16.25</v>
      </c>
      <c r="G33" s="14">
        <f>ROUND(F33*'Inputs &amp; notes'!$B$3,2)</f>
        <v>1.22</v>
      </c>
      <c r="H33" s="14">
        <f>F33+G33</f>
        <v>17.47</v>
      </c>
    </row>
    <row r="34" spans="1:8" x14ac:dyDescent="0.25">
      <c r="A34" s="8" t="s">
        <v>56</v>
      </c>
      <c r="B34" s="9">
        <v>46053</v>
      </c>
      <c r="C34" s="8" t="s">
        <v>27</v>
      </c>
      <c r="D34" s="8">
        <v>2</v>
      </c>
      <c r="E34" s="11">
        <v>17.5</v>
      </c>
      <c r="F34" s="11">
        <f>D34*E34</f>
        <v>35</v>
      </c>
      <c r="G34" s="11">
        <f>ROUND(F34*'Inputs &amp; notes'!$B$3,2)</f>
        <v>2.63</v>
      </c>
      <c r="H34" s="11">
        <f>F34+G34</f>
        <v>37.63</v>
      </c>
    </row>
    <row r="35" spans="1:8" x14ac:dyDescent="0.25">
      <c r="A35" s="12" t="s">
        <v>57</v>
      </c>
      <c r="B35" s="13">
        <v>46054</v>
      </c>
      <c r="C35" s="12" t="s">
        <v>29</v>
      </c>
      <c r="D35" s="12">
        <v>3</v>
      </c>
      <c r="E35" s="14">
        <v>10</v>
      </c>
      <c r="F35" s="14">
        <f>D35*E35</f>
        <v>30</v>
      </c>
      <c r="G35" s="14">
        <f>ROUND(F35*'Inputs &amp; notes'!$B$3,2)</f>
        <v>2.25</v>
      </c>
      <c r="H35" s="14">
        <f>F35+G35</f>
        <v>32.25</v>
      </c>
    </row>
    <row r="36" spans="1:8" x14ac:dyDescent="0.25">
      <c r="A36" s="8" t="s">
        <v>58</v>
      </c>
      <c r="B36" s="9">
        <v>46055</v>
      </c>
      <c r="C36" s="8" t="s">
        <v>23</v>
      </c>
      <c r="D36" s="8">
        <v>4</v>
      </c>
      <c r="E36" s="11">
        <v>11.25</v>
      </c>
      <c r="F36" s="11">
        <f>D36*E36</f>
        <v>45</v>
      </c>
      <c r="G36" s="11">
        <f>ROUND(F36*'Inputs &amp; notes'!$B$3,2)</f>
        <v>3.38</v>
      </c>
      <c r="H36" s="11">
        <f>F36+G36</f>
        <v>48.38</v>
      </c>
    </row>
    <row r="37" spans="1:8" x14ac:dyDescent="0.25">
      <c r="A37" s="12" t="s">
        <v>59</v>
      </c>
      <c r="B37" s="13">
        <v>46056</v>
      </c>
      <c r="C37" s="12" t="s">
        <v>25</v>
      </c>
      <c r="D37" s="12">
        <v>5</v>
      </c>
      <c r="E37" s="14">
        <v>12.5</v>
      </c>
      <c r="F37" s="14">
        <f>D37*E37</f>
        <v>62.5</v>
      </c>
      <c r="G37" s="14">
        <f>ROUND(F37*'Inputs &amp; notes'!$B$3,2)</f>
        <v>4.69</v>
      </c>
      <c r="H37" s="14">
        <f>F37+G37</f>
        <v>67.19</v>
      </c>
    </row>
    <row r="38" spans="1:8" x14ac:dyDescent="0.25">
      <c r="A38" s="8" t="s">
        <v>60</v>
      </c>
      <c r="B38" s="9">
        <v>46057</v>
      </c>
      <c r="C38" s="8" t="s">
        <v>27</v>
      </c>
      <c r="D38" s="8">
        <v>6</v>
      </c>
      <c r="E38" s="11">
        <v>13.75</v>
      </c>
      <c r="F38" s="11">
        <f>D38*E38</f>
        <v>82.5</v>
      </c>
      <c r="G38" s="11">
        <f>ROUND(F38*'Inputs &amp; notes'!$B$3,2)</f>
        <v>6.19</v>
      </c>
      <c r="H38" s="11">
        <f>F38+G38</f>
        <v>88.69</v>
      </c>
    </row>
    <row r="39" spans="1:8" x14ac:dyDescent="0.25">
      <c r="A39" s="12" t="s">
        <v>61</v>
      </c>
      <c r="B39" s="13">
        <v>46058</v>
      </c>
      <c r="C39" s="12" t="s">
        <v>29</v>
      </c>
      <c r="D39" s="12">
        <v>7</v>
      </c>
      <c r="E39" s="14">
        <v>15</v>
      </c>
      <c r="F39" s="14">
        <f>D39*E39</f>
        <v>105</v>
      </c>
      <c r="G39" s="14">
        <f>ROUND(F39*'Inputs &amp; notes'!$B$3,2)</f>
        <v>7.88</v>
      </c>
      <c r="H39" s="14">
        <f>F39+G39</f>
        <v>112.88</v>
      </c>
    </row>
    <row r="40" spans="1:8" x14ac:dyDescent="0.25">
      <c r="A40" s="8" t="s">
        <v>62</v>
      </c>
      <c r="B40" s="9">
        <v>46059</v>
      </c>
      <c r="C40" s="8" t="s">
        <v>23</v>
      </c>
      <c r="D40" s="8">
        <v>8</v>
      </c>
      <c r="E40" s="11">
        <v>16.25</v>
      </c>
      <c r="F40" s="11">
        <f>D40*E40</f>
        <v>130</v>
      </c>
      <c r="G40" s="11">
        <f>ROUND(F40*'Inputs &amp; notes'!$B$3,2)</f>
        <v>9.75</v>
      </c>
      <c r="H40" s="11">
        <f>F40+G40</f>
        <v>139.75</v>
      </c>
    </row>
    <row r="41" spans="1:8" x14ac:dyDescent="0.25">
      <c r="A41" s="12" t="s">
        <v>63</v>
      </c>
      <c r="B41" s="13">
        <v>46060</v>
      </c>
      <c r="C41" s="12" t="s">
        <v>25</v>
      </c>
      <c r="D41" s="12">
        <v>9</v>
      </c>
      <c r="E41" s="14">
        <v>17.5</v>
      </c>
      <c r="F41" s="14">
        <f>D41*E41</f>
        <v>157.5</v>
      </c>
      <c r="G41" s="14">
        <f>ROUND(F41*'Inputs &amp; notes'!$B$3,2)</f>
        <v>11.81</v>
      </c>
      <c r="H41" s="14">
        <f>F41+G41</f>
        <v>169.31</v>
      </c>
    </row>
    <row r="42" spans="1:8" x14ac:dyDescent="0.25">
      <c r="A42" s="8" t="s">
        <v>64</v>
      </c>
      <c r="B42" s="9">
        <v>46061</v>
      </c>
      <c r="C42" s="8" t="s">
        <v>27</v>
      </c>
      <c r="D42" s="8">
        <v>10</v>
      </c>
      <c r="E42" s="11">
        <v>10</v>
      </c>
      <c r="F42" s="11">
        <f>D42*E42</f>
        <v>100</v>
      </c>
      <c r="G42" s="11">
        <f>ROUND(F42*'Inputs &amp; notes'!$B$3,2)</f>
        <v>7.5</v>
      </c>
      <c r="H42" s="11">
        <f>F42+G42</f>
        <v>107.5</v>
      </c>
    </row>
    <row r="43" spans="1:8" x14ac:dyDescent="0.25">
      <c r="A43" s="12" t="s">
        <v>65</v>
      </c>
      <c r="B43" s="13">
        <v>46062</v>
      </c>
      <c r="C43" s="12" t="s">
        <v>29</v>
      </c>
      <c r="D43" s="12">
        <v>11</v>
      </c>
      <c r="E43" s="14">
        <v>11.25</v>
      </c>
      <c r="F43" s="14">
        <f>D43*E43</f>
        <v>123.75</v>
      </c>
      <c r="G43" s="14">
        <f>ROUND(F43*'Inputs &amp; notes'!$B$3,2)</f>
        <v>9.28</v>
      </c>
      <c r="H43" s="14">
        <f>F43+G43</f>
        <v>133.03</v>
      </c>
    </row>
    <row r="44" spans="1:8" x14ac:dyDescent="0.25">
      <c r="A44" s="8" t="s">
        <v>66</v>
      </c>
      <c r="B44" s="9">
        <v>46063</v>
      </c>
      <c r="C44" s="8" t="s">
        <v>23</v>
      </c>
      <c r="D44" s="8">
        <v>1</v>
      </c>
      <c r="E44" s="11">
        <v>12.5</v>
      </c>
      <c r="F44" s="11">
        <f>D44*E44</f>
        <v>12.5</v>
      </c>
      <c r="G44" s="11">
        <f>ROUND(F44*'Inputs &amp; notes'!$B$3,2)</f>
        <v>0.94</v>
      </c>
      <c r="H44" s="11">
        <f>F44+G44</f>
        <v>13.44</v>
      </c>
    </row>
    <row r="45" spans="1:8" x14ac:dyDescent="0.25">
      <c r="A45" s="12" t="s">
        <v>67</v>
      </c>
      <c r="B45" s="13">
        <v>46064</v>
      </c>
      <c r="C45" s="12" t="s">
        <v>25</v>
      </c>
      <c r="D45" s="12">
        <v>2</v>
      </c>
      <c r="E45" s="14">
        <v>13.75</v>
      </c>
      <c r="F45" s="14">
        <f>D45*E45</f>
        <v>27.5</v>
      </c>
      <c r="G45" s="14">
        <f>ROUND(F45*'Inputs &amp; notes'!$B$3,2)</f>
        <v>2.06</v>
      </c>
      <c r="H45" s="14">
        <f>F45+G45</f>
        <v>29.56</v>
      </c>
    </row>
    <row r="46" spans="1:8" x14ac:dyDescent="0.25">
      <c r="A46" s="8" t="s">
        <v>68</v>
      </c>
      <c r="B46" s="9">
        <v>46065</v>
      </c>
      <c r="C46" s="8" t="s">
        <v>27</v>
      </c>
      <c r="D46" s="8">
        <v>3</v>
      </c>
      <c r="E46" s="11">
        <v>15</v>
      </c>
      <c r="F46" s="11">
        <f>D46*E46</f>
        <v>45</v>
      </c>
      <c r="G46" s="11">
        <f>ROUND(F46*'Inputs &amp; notes'!$B$3,2)</f>
        <v>3.38</v>
      </c>
      <c r="H46" s="11">
        <f>F46+G46</f>
        <v>48.38</v>
      </c>
    </row>
    <row r="47" spans="1:8" x14ac:dyDescent="0.25">
      <c r="A47" s="12" t="s">
        <v>69</v>
      </c>
      <c r="B47" s="13">
        <v>46066</v>
      </c>
      <c r="C47" s="12" t="s">
        <v>29</v>
      </c>
      <c r="D47" s="12">
        <v>4</v>
      </c>
      <c r="E47" s="14">
        <v>16.25</v>
      </c>
      <c r="F47" s="14">
        <f>D47*E47</f>
        <v>65</v>
      </c>
      <c r="G47" s="14">
        <f>ROUND(F47*'Inputs &amp; notes'!$B$3,2)</f>
        <v>4.88</v>
      </c>
      <c r="H47" s="14">
        <f>F47+G47</f>
        <v>69.88</v>
      </c>
    </row>
    <row r="48" spans="1:8" x14ac:dyDescent="0.25">
      <c r="A48" s="8" t="s">
        <v>70</v>
      </c>
      <c r="B48" s="9">
        <v>46067</v>
      </c>
      <c r="C48" s="8" t="s">
        <v>23</v>
      </c>
      <c r="D48" s="8">
        <v>5</v>
      </c>
      <c r="E48" s="11">
        <v>17.5</v>
      </c>
      <c r="F48" s="11">
        <f>D48*E48</f>
        <v>87.5</v>
      </c>
      <c r="G48" s="11">
        <f>ROUND(F48*'Inputs &amp; notes'!$B$3,2)</f>
        <v>6.56</v>
      </c>
      <c r="H48" s="11">
        <f>F48+G48</f>
        <v>94.06</v>
      </c>
    </row>
    <row r="49" spans="1:8" x14ac:dyDescent="0.25">
      <c r="A49" s="12" t="s">
        <v>71</v>
      </c>
      <c r="B49" s="13">
        <v>46068</v>
      </c>
      <c r="C49" s="12" t="s">
        <v>25</v>
      </c>
      <c r="D49" s="12">
        <v>6</v>
      </c>
      <c r="E49" s="14">
        <v>10</v>
      </c>
      <c r="F49" s="14">
        <f>D49*E49</f>
        <v>60</v>
      </c>
      <c r="G49" s="14">
        <f>ROUND(F49*'Inputs &amp; notes'!$B$3,2)</f>
        <v>4.5</v>
      </c>
      <c r="H49" s="14">
        <f>F49+G49</f>
        <v>64.5</v>
      </c>
    </row>
    <row r="50" spans="1:8" x14ac:dyDescent="0.25">
      <c r="A50" s="8" t="s">
        <v>72</v>
      </c>
      <c r="B50" s="9">
        <v>46069</v>
      </c>
      <c r="C50" s="8" t="s">
        <v>27</v>
      </c>
      <c r="D50" s="8">
        <v>7</v>
      </c>
      <c r="E50" s="11">
        <v>11.25</v>
      </c>
      <c r="F50" s="11">
        <f>D50*E50</f>
        <v>78.75</v>
      </c>
      <c r="G50" s="11">
        <f>ROUND(F50*'Inputs &amp; notes'!$B$3,2)</f>
        <v>5.91</v>
      </c>
      <c r="H50" s="11">
        <f>F50+G50</f>
        <v>84.66</v>
      </c>
    </row>
    <row r="51" spans="1:8" x14ac:dyDescent="0.25">
      <c r="A51" s="12" t="s">
        <v>73</v>
      </c>
      <c r="B51" s="13">
        <v>46070</v>
      </c>
      <c r="C51" s="12" t="s">
        <v>29</v>
      </c>
      <c r="D51" s="12">
        <v>8</v>
      </c>
      <c r="E51" s="14">
        <v>12.5</v>
      </c>
      <c r="F51" s="14">
        <f>D51*E51</f>
        <v>100</v>
      </c>
      <c r="G51" s="14">
        <f>ROUND(F51*'Inputs &amp; notes'!$B$3,2)</f>
        <v>7.5</v>
      </c>
      <c r="H51" s="14">
        <f>F51+G51</f>
        <v>107.5</v>
      </c>
    </row>
    <row r="52" spans="1:8" x14ac:dyDescent="0.25">
      <c r="A52" s="8" t="s">
        <v>74</v>
      </c>
      <c r="B52" s="9">
        <v>46071</v>
      </c>
      <c r="C52" s="8" t="s">
        <v>23</v>
      </c>
      <c r="D52" s="8">
        <v>9</v>
      </c>
      <c r="E52" s="11">
        <v>13.75</v>
      </c>
      <c r="F52" s="11">
        <f>D52*E52</f>
        <v>123.75</v>
      </c>
      <c r="G52" s="11">
        <f>ROUND(F52*'Inputs &amp; notes'!$B$3,2)</f>
        <v>9.28</v>
      </c>
      <c r="H52" s="11">
        <f>F52+G52</f>
        <v>133.03</v>
      </c>
    </row>
    <row r="53" spans="1:8" x14ac:dyDescent="0.25">
      <c r="A53" s="12" t="s">
        <v>75</v>
      </c>
      <c r="B53" s="13">
        <v>46072</v>
      </c>
      <c r="C53" s="12" t="s">
        <v>25</v>
      </c>
      <c r="D53" s="12">
        <v>10</v>
      </c>
      <c r="E53" s="14">
        <v>15</v>
      </c>
      <c r="F53" s="14">
        <f>D53*E53</f>
        <v>150</v>
      </c>
      <c r="G53" s="14">
        <f>ROUND(F53*'Inputs &amp; notes'!$B$3,2)</f>
        <v>11.25</v>
      </c>
      <c r="H53" s="14">
        <f>F53+G53</f>
        <v>161.25</v>
      </c>
    </row>
    <row r="54" spans="1:8" x14ac:dyDescent="0.25">
      <c r="A54" s="8" t="s">
        <v>76</v>
      </c>
      <c r="B54" s="9">
        <v>46073</v>
      </c>
      <c r="C54" s="8" t="s">
        <v>27</v>
      </c>
      <c r="D54" s="8">
        <v>11</v>
      </c>
      <c r="E54" s="11">
        <v>16.25</v>
      </c>
      <c r="F54" s="11">
        <f>D54*E54</f>
        <v>178.75</v>
      </c>
      <c r="G54" s="11">
        <f>ROUND(F54*'Inputs &amp; notes'!$B$3,2)</f>
        <v>13.41</v>
      </c>
      <c r="H54" s="11">
        <f>F54+G54</f>
        <v>192.16</v>
      </c>
    </row>
    <row r="55" spans="1:8" x14ac:dyDescent="0.25">
      <c r="A55" s="12" t="s">
        <v>77</v>
      </c>
      <c r="B55" s="13">
        <v>46074</v>
      </c>
      <c r="C55" s="12" t="s">
        <v>29</v>
      </c>
      <c r="D55" s="12">
        <v>1</v>
      </c>
      <c r="E55" s="14">
        <v>17.5</v>
      </c>
      <c r="F55" s="14">
        <f>D55*E55</f>
        <v>17.5</v>
      </c>
      <c r="G55" s="14">
        <f>ROUND(F55*'Inputs &amp; notes'!$B$3,2)</f>
        <v>1.31</v>
      </c>
      <c r="H55" s="14">
        <f>F55+G55</f>
        <v>18.81</v>
      </c>
    </row>
    <row r="56" spans="1:8" x14ac:dyDescent="0.25">
      <c r="A56" s="8" t="s">
        <v>78</v>
      </c>
      <c r="B56" s="9">
        <v>46075</v>
      </c>
      <c r="C56" s="8" t="s">
        <v>23</v>
      </c>
      <c r="D56" s="8">
        <v>2</v>
      </c>
      <c r="E56" s="11">
        <v>10</v>
      </c>
      <c r="F56" s="11">
        <f>D56*E56</f>
        <v>20</v>
      </c>
      <c r="G56" s="11">
        <f>ROUND(F56*'Inputs &amp; notes'!$B$3,2)</f>
        <v>1.5</v>
      </c>
      <c r="H56" s="11">
        <f>F56+G56</f>
        <v>21.5</v>
      </c>
    </row>
    <row r="57" spans="1:8" x14ac:dyDescent="0.25">
      <c r="A57" s="12" t="s">
        <v>79</v>
      </c>
      <c r="B57" s="13">
        <v>46076</v>
      </c>
      <c r="C57" s="12" t="s">
        <v>25</v>
      </c>
      <c r="D57" s="12">
        <v>3</v>
      </c>
      <c r="E57" s="14">
        <v>11.25</v>
      </c>
      <c r="F57" s="14">
        <f>D57*E57</f>
        <v>33.75</v>
      </c>
      <c r="G57" s="14">
        <f>ROUND(F57*'Inputs &amp; notes'!$B$3,2)</f>
        <v>2.53</v>
      </c>
      <c r="H57" s="14">
        <f>F57+G57</f>
        <v>36.28</v>
      </c>
    </row>
    <row r="58" spans="1:8" x14ac:dyDescent="0.25">
      <c r="A58" s="8" t="s">
        <v>80</v>
      </c>
      <c r="B58" s="9">
        <v>46077</v>
      </c>
      <c r="C58" s="8" t="s">
        <v>27</v>
      </c>
      <c r="D58" s="8">
        <v>4</v>
      </c>
      <c r="E58" s="11">
        <v>12.5</v>
      </c>
      <c r="F58" s="11">
        <f>D58*E58</f>
        <v>50</v>
      </c>
      <c r="G58" s="11">
        <f>ROUND(F58*'Inputs &amp; notes'!$B$3,2)</f>
        <v>3.75</v>
      </c>
      <c r="H58" s="11">
        <f>F58+G58</f>
        <v>53.75</v>
      </c>
    </row>
    <row r="59" spans="1:8" x14ac:dyDescent="0.25">
      <c r="A59" s="12" t="s">
        <v>81</v>
      </c>
      <c r="B59" s="13">
        <v>46078</v>
      </c>
      <c r="C59" s="12" t="s">
        <v>29</v>
      </c>
      <c r="D59" s="12">
        <v>5</v>
      </c>
      <c r="E59" s="14">
        <v>13.75</v>
      </c>
      <c r="F59" s="14">
        <f>D59*E59</f>
        <v>68.75</v>
      </c>
      <c r="G59" s="14">
        <f>ROUND(F59*'Inputs &amp; notes'!$B$3,2)</f>
        <v>5.16</v>
      </c>
      <c r="H59" s="14">
        <f>F59+G59</f>
        <v>73.91</v>
      </c>
    </row>
    <row r="60" spans="1:8" x14ac:dyDescent="0.25">
      <c r="A60" s="8" t="s">
        <v>82</v>
      </c>
      <c r="B60" s="9">
        <v>46079</v>
      </c>
      <c r="C60" s="8" t="s">
        <v>23</v>
      </c>
      <c r="D60" s="8">
        <v>6</v>
      </c>
      <c r="E60" s="11">
        <v>15</v>
      </c>
      <c r="F60" s="11">
        <f>D60*E60</f>
        <v>90</v>
      </c>
      <c r="G60" s="11">
        <f>ROUND(F60*'Inputs &amp; notes'!$B$3,2)</f>
        <v>6.75</v>
      </c>
      <c r="H60" s="11">
        <f>F60+G60</f>
        <v>96.75</v>
      </c>
    </row>
    <row r="61" spans="1:8" x14ac:dyDescent="0.25">
      <c r="A61" s="12" t="s">
        <v>83</v>
      </c>
      <c r="B61" s="13">
        <v>46080</v>
      </c>
      <c r="C61" s="12" t="s">
        <v>25</v>
      </c>
      <c r="D61" s="12">
        <v>7</v>
      </c>
      <c r="E61" s="14">
        <v>16.25</v>
      </c>
      <c r="F61" s="14">
        <f>D61*E61</f>
        <v>113.75</v>
      </c>
      <c r="G61" s="14">
        <f>ROUND(F61*'Inputs &amp; notes'!$B$3,2)</f>
        <v>8.53</v>
      </c>
      <c r="H61" s="14">
        <f>F61+G61</f>
        <v>122.28</v>
      </c>
    </row>
    <row r="62" spans="1:8" x14ac:dyDescent="0.25">
      <c r="A62" s="8" t="s">
        <v>84</v>
      </c>
      <c r="B62" s="9">
        <v>46081</v>
      </c>
      <c r="C62" s="8" t="s">
        <v>27</v>
      </c>
      <c r="D62" s="8">
        <v>8</v>
      </c>
      <c r="E62" s="11">
        <v>17.5</v>
      </c>
      <c r="F62" s="11">
        <f>D62*E62</f>
        <v>140</v>
      </c>
      <c r="G62" s="11">
        <f>ROUND(F62*'Inputs &amp; notes'!$B$3,2)</f>
        <v>10.5</v>
      </c>
      <c r="H62" s="11">
        <f>F62+G62</f>
        <v>150.5</v>
      </c>
    </row>
    <row r="63" spans="1:8" x14ac:dyDescent="0.25">
      <c r="A63" s="12" t="s">
        <v>85</v>
      </c>
      <c r="B63" s="13">
        <v>46082</v>
      </c>
      <c r="C63" s="12" t="s">
        <v>29</v>
      </c>
      <c r="D63" s="12">
        <v>9</v>
      </c>
      <c r="E63" s="14">
        <v>10</v>
      </c>
      <c r="F63" s="14">
        <f>D63*E63</f>
        <v>90</v>
      </c>
      <c r="G63" s="14">
        <f>ROUND(F63*'Inputs &amp; notes'!$B$3,2)</f>
        <v>6.75</v>
      </c>
      <c r="H63" s="14">
        <f>F63+G63</f>
        <v>96.75</v>
      </c>
    </row>
    <row r="64" spans="1:8" x14ac:dyDescent="0.25">
      <c r="A64" s="8" t="s">
        <v>86</v>
      </c>
      <c r="B64" s="9">
        <v>46083</v>
      </c>
      <c r="C64" s="8" t="s">
        <v>23</v>
      </c>
      <c r="D64" s="8">
        <v>10</v>
      </c>
      <c r="E64" s="11">
        <v>11.25</v>
      </c>
      <c r="F64" s="11">
        <f>D64*E64</f>
        <v>112.5</v>
      </c>
      <c r="G64" s="11">
        <f>ROUND(F64*'Inputs &amp; notes'!$B$3,2)</f>
        <v>8.44</v>
      </c>
      <c r="H64" s="11">
        <f>F64+G64</f>
        <v>120.94</v>
      </c>
    </row>
    <row r="65" spans="1:8" x14ac:dyDescent="0.25">
      <c r="A65" s="12" t="s">
        <v>87</v>
      </c>
      <c r="B65" s="13">
        <v>46084</v>
      </c>
      <c r="C65" s="12" t="s">
        <v>25</v>
      </c>
      <c r="D65" s="12">
        <v>11</v>
      </c>
      <c r="E65" s="14">
        <v>12.5</v>
      </c>
      <c r="F65" s="14">
        <f>D65*E65</f>
        <v>137.5</v>
      </c>
      <c r="G65" s="14">
        <f>ROUND(F65*'Inputs &amp; notes'!$B$3,2)</f>
        <v>10.31</v>
      </c>
      <c r="H65" s="14">
        <f>F65+G65</f>
        <v>147.81</v>
      </c>
    </row>
    <row r="66" spans="1:8" x14ac:dyDescent="0.25">
      <c r="A66" s="8" t="s">
        <v>88</v>
      </c>
      <c r="B66" s="9">
        <v>46085</v>
      </c>
      <c r="C66" s="8" t="s">
        <v>27</v>
      </c>
      <c r="D66" s="8">
        <v>1</v>
      </c>
      <c r="E66" s="11">
        <v>13.75</v>
      </c>
      <c r="F66" s="11">
        <f>D66*E66</f>
        <v>13.75</v>
      </c>
      <c r="G66" s="11">
        <f>ROUND(F66*'Inputs &amp; notes'!$B$3,2)</f>
        <v>1.03</v>
      </c>
      <c r="H66" s="11">
        <f>F66+G66</f>
        <v>14.78</v>
      </c>
    </row>
    <row r="67" spans="1:8" x14ac:dyDescent="0.25">
      <c r="A67" s="12" t="s">
        <v>89</v>
      </c>
      <c r="B67" s="13">
        <v>46086</v>
      </c>
      <c r="C67" s="12" t="s">
        <v>29</v>
      </c>
      <c r="D67" s="12">
        <v>2</v>
      </c>
      <c r="E67" s="14">
        <v>15</v>
      </c>
      <c r="F67" s="14">
        <f>D67*E67</f>
        <v>30</v>
      </c>
      <c r="G67" s="14">
        <f>ROUND(F67*'Inputs &amp; notes'!$B$3,2)</f>
        <v>2.25</v>
      </c>
      <c r="H67" s="14">
        <f>F67+G67</f>
        <v>32.25</v>
      </c>
    </row>
    <row r="68" spans="1:8" x14ac:dyDescent="0.25">
      <c r="A68" s="8" t="s">
        <v>90</v>
      </c>
      <c r="B68" s="9">
        <v>46087</v>
      </c>
      <c r="C68" s="8" t="s">
        <v>23</v>
      </c>
      <c r="D68" s="8">
        <v>3</v>
      </c>
      <c r="E68" s="11">
        <v>16.25</v>
      </c>
      <c r="F68" s="11">
        <f>D68*E68</f>
        <v>48.75</v>
      </c>
      <c r="G68" s="11">
        <f>ROUND(F68*'Inputs &amp; notes'!$B$3,2)</f>
        <v>3.66</v>
      </c>
      <c r="H68" s="11">
        <f>F68+G68</f>
        <v>52.41</v>
      </c>
    </row>
    <row r="69" spans="1:8" x14ac:dyDescent="0.25">
      <c r="A69" s="12" t="s">
        <v>91</v>
      </c>
      <c r="B69" s="13">
        <v>46088</v>
      </c>
      <c r="C69" s="12" t="s">
        <v>25</v>
      </c>
      <c r="D69" s="12">
        <v>4</v>
      </c>
      <c r="E69" s="14">
        <v>17.5</v>
      </c>
      <c r="F69" s="14">
        <f>D69*E69</f>
        <v>70</v>
      </c>
      <c r="G69" s="14">
        <f>ROUND(F69*'Inputs &amp; notes'!$B$3,2)</f>
        <v>5.25</v>
      </c>
      <c r="H69" s="14">
        <f>F69+G69</f>
        <v>75.25</v>
      </c>
    </row>
    <row r="70" spans="1:8" x14ac:dyDescent="0.25">
      <c r="A70" s="8" t="s">
        <v>92</v>
      </c>
      <c r="B70" s="9">
        <v>46089</v>
      </c>
      <c r="C70" s="8" t="s">
        <v>27</v>
      </c>
      <c r="D70" s="8">
        <v>5</v>
      </c>
      <c r="E70" s="11">
        <v>10</v>
      </c>
      <c r="F70" s="11">
        <f>D70*E70</f>
        <v>50</v>
      </c>
      <c r="G70" s="11">
        <f>ROUND(F70*'Inputs &amp; notes'!$B$3,2)</f>
        <v>3.75</v>
      </c>
      <c r="H70" s="11">
        <f>F70+G70</f>
        <v>53.75</v>
      </c>
    </row>
    <row r="71" spans="1:8" x14ac:dyDescent="0.25">
      <c r="A71" s="12" t="s">
        <v>93</v>
      </c>
      <c r="B71" s="13">
        <v>46090</v>
      </c>
      <c r="C71" s="12" t="s">
        <v>29</v>
      </c>
      <c r="D71" s="12">
        <v>6</v>
      </c>
      <c r="E71" s="14">
        <v>11.25</v>
      </c>
      <c r="F71" s="14">
        <f>D71*E71</f>
        <v>67.5</v>
      </c>
      <c r="G71" s="14">
        <f>ROUND(F71*'Inputs &amp; notes'!$B$3,2)</f>
        <v>5.06</v>
      </c>
      <c r="H71" s="14">
        <f>F71+G71</f>
        <v>72.56</v>
      </c>
    </row>
    <row r="72" spans="1:8" x14ac:dyDescent="0.25">
      <c r="A72" s="8" t="s">
        <v>94</v>
      </c>
      <c r="B72" s="9">
        <v>46091</v>
      </c>
      <c r="C72" s="8" t="s">
        <v>23</v>
      </c>
      <c r="D72" s="8">
        <v>7</v>
      </c>
      <c r="E72" s="11">
        <v>12.5</v>
      </c>
      <c r="F72" s="11">
        <f>D72*E72</f>
        <v>87.5</v>
      </c>
      <c r="G72" s="11">
        <f>ROUND(F72*'Inputs &amp; notes'!$B$3,2)</f>
        <v>6.56</v>
      </c>
      <c r="H72" s="11">
        <f>F72+G72</f>
        <v>94.06</v>
      </c>
    </row>
    <row r="73" spans="1:8" x14ac:dyDescent="0.25">
      <c r="A73" s="12" t="s">
        <v>95</v>
      </c>
      <c r="B73" s="13">
        <v>46092</v>
      </c>
      <c r="C73" s="12" t="s">
        <v>25</v>
      </c>
      <c r="D73" s="12">
        <v>8</v>
      </c>
      <c r="E73" s="14">
        <v>13.75</v>
      </c>
      <c r="F73" s="14">
        <f>D73*E73</f>
        <v>110</v>
      </c>
      <c r="G73" s="14">
        <f>ROUND(F73*'Inputs &amp; notes'!$B$3,2)</f>
        <v>8.25</v>
      </c>
      <c r="H73" s="14">
        <f>F73+G73</f>
        <v>118.25</v>
      </c>
    </row>
    <row r="74" spans="1:8" x14ac:dyDescent="0.25">
      <c r="A74" s="8" t="s">
        <v>96</v>
      </c>
      <c r="B74" s="9">
        <v>46093</v>
      </c>
      <c r="C74" s="8" t="s">
        <v>27</v>
      </c>
      <c r="D74" s="8">
        <v>9</v>
      </c>
      <c r="E74" s="11">
        <v>15</v>
      </c>
      <c r="F74" s="11">
        <f>D74*E74</f>
        <v>135</v>
      </c>
      <c r="G74" s="11">
        <f>ROUND(F74*'Inputs &amp; notes'!$B$3,2)</f>
        <v>10.13</v>
      </c>
      <c r="H74" s="11">
        <f>F74+G74</f>
        <v>145.13</v>
      </c>
    </row>
    <row r="75" spans="1:8" x14ac:dyDescent="0.25">
      <c r="A75" s="12" t="s">
        <v>97</v>
      </c>
      <c r="B75" s="13">
        <v>46094</v>
      </c>
      <c r="C75" s="12" t="s">
        <v>29</v>
      </c>
      <c r="D75" s="12">
        <v>10</v>
      </c>
      <c r="E75" s="14">
        <v>16.25</v>
      </c>
      <c r="F75" s="14">
        <f>D75*E75</f>
        <v>162.5</v>
      </c>
      <c r="G75" s="14">
        <f>ROUND(F75*'Inputs &amp; notes'!$B$3,2)</f>
        <v>12.19</v>
      </c>
      <c r="H75" s="14">
        <f>F75+G75</f>
        <v>174.69</v>
      </c>
    </row>
    <row r="76" spans="1:8" x14ac:dyDescent="0.25">
      <c r="A76" s="8" t="s">
        <v>98</v>
      </c>
      <c r="B76" s="9">
        <v>46095</v>
      </c>
      <c r="C76" s="8" t="s">
        <v>23</v>
      </c>
      <c r="D76" s="8">
        <v>11</v>
      </c>
      <c r="E76" s="11">
        <v>17.5</v>
      </c>
      <c r="F76" s="11">
        <f>D76*E76</f>
        <v>192.5</v>
      </c>
      <c r="G76" s="11">
        <f>ROUND(F76*'Inputs &amp; notes'!$B$3,2)</f>
        <v>14.44</v>
      </c>
      <c r="H76" s="11">
        <f>F76+G76</f>
        <v>206.94</v>
      </c>
    </row>
    <row r="77" spans="1:8" x14ac:dyDescent="0.25">
      <c r="A77" s="12" t="s">
        <v>99</v>
      </c>
      <c r="B77" s="13">
        <v>46096</v>
      </c>
      <c r="C77" s="12" t="s">
        <v>25</v>
      </c>
      <c r="D77" s="12">
        <v>1</v>
      </c>
      <c r="E77" s="14">
        <v>10</v>
      </c>
      <c r="F77" s="14">
        <f>D77*E77</f>
        <v>10</v>
      </c>
      <c r="G77" s="14">
        <f>ROUND(F77*'Inputs &amp; notes'!$B$3,2)</f>
        <v>0.75</v>
      </c>
      <c r="H77" s="14">
        <f>F77+G77</f>
        <v>10.75</v>
      </c>
    </row>
    <row r="78" spans="1:8" x14ac:dyDescent="0.25">
      <c r="A78" s="8" t="s">
        <v>100</v>
      </c>
      <c r="B78" s="9">
        <v>46097</v>
      </c>
      <c r="C78" s="8" t="s">
        <v>27</v>
      </c>
      <c r="D78" s="8">
        <v>2</v>
      </c>
      <c r="E78" s="11">
        <v>11.25</v>
      </c>
      <c r="F78" s="11">
        <f>D78*E78</f>
        <v>22.5</v>
      </c>
      <c r="G78" s="11">
        <f>ROUND(F78*'Inputs &amp; notes'!$B$3,2)</f>
        <v>1.69</v>
      </c>
      <c r="H78" s="11">
        <f>F78+G78</f>
        <v>24.19</v>
      </c>
    </row>
    <row r="79" spans="1:8" x14ac:dyDescent="0.25">
      <c r="A79" s="12" t="s">
        <v>101</v>
      </c>
      <c r="B79" s="13">
        <v>46098</v>
      </c>
      <c r="C79" s="12" t="s">
        <v>29</v>
      </c>
      <c r="D79" s="12">
        <v>3</v>
      </c>
      <c r="E79" s="14">
        <v>12.5</v>
      </c>
      <c r="F79" s="14">
        <f>D79*E79</f>
        <v>37.5</v>
      </c>
      <c r="G79" s="14">
        <f>ROUND(F79*'Inputs &amp; notes'!$B$3,2)</f>
        <v>2.81</v>
      </c>
      <c r="H79" s="14">
        <f>F79+G79</f>
        <v>40.31</v>
      </c>
    </row>
    <row r="80" spans="1:8" x14ac:dyDescent="0.25">
      <c r="A80" s="8" t="s">
        <v>102</v>
      </c>
      <c r="B80" s="9">
        <v>46099</v>
      </c>
      <c r="C80" s="8" t="s">
        <v>23</v>
      </c>
      <c r="D80" s="8">
        <v>4</v>
      </c>
      <c r="E80" s="11">
        <v>13.75</v>
      </c>
      <c r="F80" s="11">
        <f>D80*E80</f>
        <v>55</v>
      </c>
      <c r="G80" s="11">
        <f>ROUND(F80*'Inputs &amp; notes'!$B$3,2)</f>
        <v>4.13</v>
      </c>
      <c r="H80" s="11">
        <f>F80+G80</f>
        <v>59.13</v>
      </c>
    </row>
    <row r="81" spans="1:8" x14ac:dyDescent="0.25">
      <c r="A81" s="12" t="s">
        <v>103</v>
      </c>
      <c r="B81" s="13">
        <v>46100</v>
      </c>
      <c r="C81" s="12" t="s">
        <v>25</v>
      </c>
      <c r="D81" s="12">
        <v>5</v>
      </c>
      <c r="E81" s="14">
        <v>15</v>
      </c>
      <c r="F81" s="14">
        <f>D81*E81</f>
        <v>75</v>
      </c>
      <c r="G81" s="14">
        <f>ROUND(F81*'Inputs &amp; notes'!$B$3,2)</f>
        <v>5.63</v>
      </c>
      <c r="H81" s="14">
        <f>F81+G81</f>
        <v>80.63</v>
      </c>
    </row>
    <row r="82" spans="1:8" x14ac:dyDescent="0.25">
      <c r="A82" s="8" t="s">
        <v>104</v>
      </c>
      <c r="B82" s="9">
        <v>46101</v>
      </c>
      <c r="C82" s="8" t="s">
        <v>27</v>
      </c>
      <c r="D82" s="8">
        <v>6</v>
      </c>
      <c r="E82" s="11">
        <v>16.25</v>
      </c>
      <c r="F82" s="11">
        <f>D82*E82</f>
        <v>97.5</v>
      </c>
      <c r="G82" s="11">
        <f>ROUND(F82*'Inputs &amp; notes'!$B$3,2)</f>
        <v>7.31</v>
      </c>
      <c r="H82" s="11">
        <f>F82+G82</f>
        <v>104.81</v>
      </c>
    </row>
    <row r="83" spans="1:8" x14ac:dyDescent="0.25">
      <c r="A83" s="12" t="s">
        <v>105</v>
      </c>
      <c r="B83" s="13">
        <v>46102</v>
      </c>
      <c r="C83" s="12" t="s">
        <v>29</v>
      </c>
      <c r="D83" s="12">
        <v>7</v>
      </c>
      <c r="E83" s="14">
        <v>17.5</v>
      </c>
      <c r="F83" s="14">
        <f>D83*E83</f>
        <v>122.5</v>
      </c>
      <c r="G83" s="14">
        <f>ROUND(F83*'Inputs &amp; notes'!$B$3,2)</f>
        <v>9.19</v>
      </c>
      <c r="H83" s="14">
        <f>F83+G83</f>
        <v>131.69</v>
      </c>
    </row>
    <row r="84" spans="1:8" x14ac:dyDescent="0.25">
      <c r="A84" s="8" t="s">
        <v>106</v>
      </c>
      <c r="B84" s="9">
        <v>46103</v>
      </c>
      <c r="C84" s="8" t="s">
        <v>23</v>
      </c>
      <c r="D84" s="8">
        <v>8</v>
      </c>
      <c r="E84" s="11">
        <v>10</v>
      </c>
      <c r="F84" s="11">
        <f>D84*E84</f>
        <v>80</v>
      </c>
      <c r="G84" s="11">
        <f>ROUND(F84*'Inputs &amp; notes'!$B$3,2)</f>
        <v>6</v>
      </c>
      <c r="H84" s="11">
        <f>F84+G84</f>
        <v>86</v>
      </c>
    </row>
    <row r="85" spans="1:8" x14ac:dyDescent="0.25">
      <c r="A85" s="12" t="s">
        <v>107</v>
      </c>
      <c r="B85" s="13">
        <v>46104</v>
      </c>
      <c r="C85" s="12" t="s">
        <v>25</v>
      </c>
      <c r="D85" s="12">
        <v>9</v>
      </c>
      <c r="E85" s="14">
        <v>11.25</v>
      </c>
      <c r="F85" s="14">
        <f>D85*E85</f>
        <v>101.25</v>
      </c>
      <c r="G85" s="14">
        <f>ROUND(F85*'Inputs &amp; notes'!$B$3,2)</f>
        <v>7.59</v>
      </c>
      <c r="H85" s="14">
        <f>F85+G85</f>
        <v>108.84</v>
      </c>
    </row>
    <row r="86" spans="1:8" x14ac:dyDescent="0.25">
      <c r="A86" s="8" t="s">
        <v>108</v>
      </c>
      <c r="B86" s="9">
        <v>46105</v>
      </c>
      <c r="C86" s="8" t="s">
        <v>27</v>
      </c>
      <c r="D86" s="8">
        <v>10</v>
      </c>
      <c r="E86" s="11">
        <v>12.5</v>
      </c>
      <c r="F86" s="11">
        <f>D86*E86</f>
        <v>125</v>
      </c>
      <c r="G86" s="11">
        <f>ROUND(F86*'Inputs &amp; notes'!$B$3,2)</f>
        <v>9.38</v>
      </c>
      <c r="H86" s="11">
        <f>F86+G86</f>
        <v>134.38</v>
      </c>
    </row>
    <row r="87" spans="1:8" x14ac:dyDescent="0.25">
      <c r="A87" s="12" t="s">
        <v>109</v>
      </c>
      <c r="B87" s="13">
        <v>46106</v>
      </c>
      <c r="C87" s="12" t="s">
        <v>29</v>
      </c>
      <c r="D87" s="12">
        <v>11</v>
      </c>
      <c r="E87" s="14">
        <v>13.75</v>
      </c>
      <c r="F87" s="14">
        <f>D87*E87</f>
        <v>151.25</v>
      </c>
      <c r="G87" s="14">
        <f>ROUND(F87*'Inputs &amp; notes'!$B$3,2)</f>
        <v>11.34</v>
      </c>
      <c r="H87" s="14">
        <f>F87+G87</f>
        <v>162.59</v>
      </c>
    </row>
    <row r="88" spans="1:8" x14ac:dyDescent="0.25">
      <c r="A88" s="8" t="s">
        <v>110</v>
      </c>
      <c r="B88" s="9">
        <v>46107</v>
      </c>
      <c r="C88" s="8" t="s">
        <v>23</v>
      </c>
      <c r="D88" s="8">
        <v>1</v>
      </c>
      <c r="E88" s="11">
        <v>15</v>
      </c>
      <c r="F88" s="11">
        <f>D88*E88</f>
        <v>15</v>
      </c>
      <c r="G88" s="11">
        <f>ROUND(F88*'Inputs &amp; notes'!$B$3,2)</f>
        <v>1.13</v>
      </c>
      <c r="H88" s="11">
        <f>F88+G88</f>
        <v>16.13</v>
      </c>
    </row>
    <row r="89" spans="1:8" x14ac:dyDescent="0.25">
      <c r="A89" s="12" t="s">
        <v>111</v>
      </c>
      <c r="B89" s="13">
        <v>46108</v>
      </c>
      <c r="C89" s="12" t="s">
        <v>25</v>
      </c>
      <c r="D89" s="12">
        <v>2</v>
      </c>
      <c r="E89" s="14">
        <v>16.25</v>
      </c>
      <c r="F89" s="14">
        <f>D89*E89</f>
        <v>32.5</v>
      </c>
      <c r="G89" s="14">
        <f>ROUND(F89*'Inputs &amp; notes'!$B$3,2)</f>
        <v>2.44</v>
      </c>
      <c r="H89" s="14">
        <f>F89+G89</f>
        <v>34.94</v>
      </c>
    </row>
    <row r="90" spans="1:8" x14ac:dyDescent="0.25">
      <c r="A90" s="8" t="s">
        <v>112</v>
      </c>
      <c r="B90" s="9">
        <v>46109</v>
      </c>
      <c r="C90" s="8" t="s">
        <v>27</v>
      </c>
      <c r="D90" s="8">
        <v>3</v>
      </c>
      <c r="E90" s="11">
        <v>17.5</v>
      </c>
      <c r="F90" s="11">
        <f>D90*E90</f>
        <v>52.5</v>
      </c>
      <c r="G90" s="11">
        <f>ROUND(F90*'Inputs &amp; notes'!$B$3,2)</f>
        <v>3.94</v>
      </c>
      <c r="H90" s="11">
        <f>F90+G90</f>
        <v>56.44</v>
      </c>
    </row>
    <row r="91" spans="1:8" x14ac:dyDescent="0.25">
      <c r="A91" s="12" t="s">
        <v>113</v>
      </c>
      <c r="B91" s="13">
        <v>46110</v>
      </c>
      <c r="C91" s="12" t="s">
        <v>29</v>
      </c>
      <c r="D91" s="12">
        <v>4</v>
      </c>
      <c r="E91" s="14">
        <v>10</v>
      </c>
      <c r="F91" s="14">
        <f>D91*E91</f>
        <v>40</v>
      </c>
      <c r="G91" s="14">
        <f>ROUND(F91*'Inputs &amp; notes'!$B$3,2)</f>
        <v>3</v>
      </c>
      <c r="H91" s="14">
        <f>F91+G91</f>
        <v>43</v>
      </c>
    </row>
    <row r="92" spans="1:8" x14ac:dyDescent="0.25">
      <c r="A92" s="8" t="s">
        <v>114</v>
      </c>
      <c r="B92" s="9">
        <v>46111</v>
      </c>
      <c r="C92" s="8" t="s">
        <v>23</v>
      </c>
      <c r="D92" s="8">
        <v>5</v>
      </c>
      <c r="E92" s="11">
        <v>11.25</v>
      </c>
      <c r="F92" s="11">
        <f>D92*E92</f>
        <v>56.25</v>
      </c>
      <c r="G92" s="11">
        <f>ROUND(F92*'Inputs &amp; notes'!$B$3,2)</f>
        <v>4.22</v>
      </c>
      <c r="H92" s="11">
        <f>F92+G92</f>
        <v>60.47</v>
      </c>
    </row>
    <row r="93" spans="1:8" x14ac:dyDescent="0.25">
      <c r="A93" s="12" t="s">
        <v>115</v>
      </c>
      <c r="B93" s="13">
        <v>46112</v>
      </c>
      <c r="C93" s="12" t="s">
        <v>25</v>
      </c>
      <c r="D93" s="12">
        <v>6</v>
      </c>
      <c r="E93" s="14">
        <v>12.5</v>
      </c>
      <c r="F93" s="14">
        <f>D93*E93</f>
        <v>75</v>
      </c>
      <c r="G93" s="14">
        <f>ROUND(F93*'Inputs &amp; notes'!$B$3,2)</f>
        <v>5.63</v>
      </c>
      <c r="H93" s="14">
        <f>F93+G93</f>
        <v>80.63</v>
      </c>
    </row>
    <row r="94" spans="1:8" x14ac:dyDescent="0.25">
      <c r="A94" s="8" t="s">
        <v>116</v>
      </c>
      <c r="B94" s="9">
        <v>46113</v>
      </c>
      <c r="C94" s="8" t="s">
        <v>27</v>
      </c>
      <c r="D94" s="8">
        <v>7</v>
      </c>
      <c r="E94" s="11">
        <v>13.75</v>
      </c>
      <c r="F94" s="11">
        <f>D94*E94</f>
        <v>96.25</v>
      </c>
      <c r="G94" s="11">
        <f>ROUND(F94*'Inputs &amp; notes'!$B$3,2)</f>
        <v>7.22</v>
      </c>
      <c r="H94" s="11">
        <f>F94+G94</f>
        <v>103.47</v>
      </c>
    </row>
    <row r="95" spans="1:8" x14ac:dyDescent="0.25">
      <c r="A95" s="12" t="s">
        <v>117</v>
      </c>
      <c r="B95" s="13">
        <v>46114</v>
      </c>
      <c r="C95" s="12" t="s">
        <v>29</v>
      </c>
      <c r="D95" s="12">
        <v>8</v>
      </c>
      <c r="E95" s="14">
        <v>15</v>
      </c>
      <c r="F95" s="14">
        <f>D95*E95</f>
        <v>120</v>
      </c>
      <c r="G95" s="14">
        <f>ROUND(F95*'Inputs &amp; notes'!$B$3,2)</f>
        <v>9</v>
      </c>
      <c r="H95" s="14">
        <f>F95+G95</f>
        <v>129</v>
      </c>
    </row>
    <row r="96" spans="1:8" x14ac:dyDescent="0.25">
      <c r="A96" s="8" t="s">
        <v>118</v>
      </c>
      <c r="B96" s="9">
        <v>46115</v>
      </c>
      <c r="C96" s="8" t="s">
        <v>23</v>
      </c>
      <c r="D96" s="8">
        <v>9</v>
      </c>
      <c r="E96" s="11">
        <v>16.25</v>
      </c>
      <c r="F96" s="11">
        <f>D96*E96</f>
        <v>146.25</v>
      </c>
      <c r="G96" s="11">
        <f>ROUND(F96*'Inputs &amp; notes'!$B$3,2)</f>
        <v>10.97</v>
      </c>
      <c r="H96" s="11">
        <f>F96+G96</f>
        <v>157.22</v>
      </c>
    </row>
    <row r="97" spans="1:8" x14ac:dyDescent="0.25">
      <c r="A97" s="12" t="s">
        <v>119</v>
      </c>
      <c r="B97" s="13">
        <v>46116</v>
      </c>
      <c r="C97" s="12" t="s">
        <v>25</v>
      </c>
      <c r="D97" s="12">
        <v>10</v>
      </c>
      <c r="E97" s="14">
        <v>17.5</v>
      </c>
      <c r="F97" s="14">
        <f>D97*E97</f>
        <v>175</v>
      </c>
      <c r="G97" s="14">
        <f>ROUND(F97*'Inputs &amp; notes'!$B$3,2)</f>
        <v>13.13</v>
      </c>
      <c r="H97" s="14">
        <f>F97+G97</f>
        <v>188.13</v>
      </c>
    </row>
    <row r="98" spans="1:8" x14ac:dyDescent="0.25">
      <c r="A98" s="8" t="s">
        <v>120</v>
      </c>
      <c r="B98" s="9">
        <v>46117</v>
      </c>
      <c r="C98" s="8" t="s">
        <v>27</v>
      </c>
      <c r="D98" s="8">
        <v>11</v>
      </c>
      <c r="E98" s="11">
        <v>10</v>
      </c>
      <c r="F98" s="11">
        <f>D98*E98</f>
        <v>110</v>
      </c>
      <c r="G98" s="11">
        <f>ROUND(F98*'Inputs &amp; notes'!$B$3,2)</f>
        <v>8.25</v>
      </c>
      <c r="H98" s="11">
        <f>F98+G98</f>
        <v>118.25</v>
      </c>
    </row>
    <row r="99" spans="1:8" x14ac:dyDescent="0.25">
      <c r="A99" s="12" t="s">
        <v>121</v>
      </c>
      <c r="B99" s="13">
        <v>46118</v>
      </c>
      <c r="C99" s="12" t="s">
        <v>29</v>
      </c>
      <c r="D99" s="12">
        <v>1</v>
      </c>
      <c r="E99" s="14">
        <v>11.25</v>
      </c>
      <c r="F99" s="14">
        <f>D99*E99</f>
        <v>11.25</v>
      </c>
      <c r="G99" s="14">
        <f>ROUND(F99*'Inputs &amp; notes'!$B$3,2)</f>
        <v>0.84</v>
      </c>
      <c r="H99" s="14">
        <f>F99+G99</f>
        <v>12.09</v>
      </c>
    </row>
    <row r="100" spans="1:8" x14ac:dyDescent="0.25">
      <c r="A100" s="8" t="s">
        <v>122</v>
      </c>
      <c r="B100" s="9">
        <v>46119</v>
      </c>
      <c r="C100" s="8" t="s">
        <v>23</v>
      </c>
      <c r="D100" s="8">
        <v>2</v>
      </c>
      <c r="E100" s="11">
        <v>12.5</v>
      </c>
      <c r="F100" s="11">
        <f>D100*E100</f>
        <v>25</v>
      </c>
      <c r="G100" s="11">
        <f>ROUND(F100*'Inputs &amp; notes'!$B$3,2)</f>
        <v>1.88</v>
      </c>
      <c r="H100" s="11">
        <f>F100+G100</f>
        <v>26.88</v>
      </c>
    </row>
    <row r="101" spans="1:8" x14ac:dyDescent="0.25">
      <c r="A101" s="12" t="s">
        <v>123</v>
      </c>
      <c r="B101" s="13">
        <v>46120</v>
      </c>
      <c r="C101" s="12" t="s">
        <v>25</v>
      </c>
      <c r="D101" s="12">
        <v>3</v>
      </c>
      <c r="E101" s="14">
        <v>13.75</v>
      </c>
      <c r="F101" s="14">
        <f>D101*E101</f>
        <v>41.25</v>
      </c>
      <c r="G101" s="14">
        <f>ROUND(F101*'Inputs &amp; notes'!$B$3,2)</f>
        <v>3.09</v>
      </c>
      <c r="H101" s="14">
        <f>F101+G101</f>
        <v>44.34</v>
      </c>
    </row>
    <row r="102" spans="1:8" x14ac:dyDescent="0.25">
      <c r="A102" s="8" t="s">
        <v>124</v>
      </c>
      <c r="B102" s="9">
        <v>46121</v>
      </c>
      <c r="C102" s="8" t="s">
        <v>27</v>
      </c>
      <c r="D102" s="8">
        <v>4</v>
      </c>
      <c r="E102" s="11">
        <v>15</v>
      </c>
      <c r="F102" s="11">
        <f>D102*E102</f>
        <v>60</v>
      </c>
      <c r="G102" s="11">
        <f>ROUND(F102*'Inputs &amp; notes'!$B$3,2)</f>
        <v>4.5</v>
      </c>
      <c r="H102" s="11">
        <f>F102+G102</f>
        <v>64.5</v>
      </c>
    </row>
    <row r="103" spans="1:8" x14ac:dyDescent="0.25">
      <c r="A103" s="12" t="s">
        <v>125</v>
      </c>
      <c r="B103" s="13">
        <v>46122</v>
      </c>
      <c r="C103" s="12" t="s">
        <v>29</v>
      </c>
      <c r="D103" s="12">
        <v>5</v>
      </c>
      <c r="E103" s="14">
        <v>16.25</v>
      </c>
      <c r="F103" s="14">
        <f>D103*E103</f>
        <v>81.25</v>
      </c>
      <c r="G103" s="14">
        <f>ROUND(F103*'Inputs &amp; notes'!$B$3,2)</f>
        <v>6.09</v>
      </c>
      <c r="H103" s="14">
        <f>F103+G103</f>
        <v>87.34</v>
      </c>
    </row>
    <row r="104" spans="1:8" x14ac:dyDescent="0.25">
      <c r="A104" s="8" t="s">
        <v>126</v>
      </c>
      <c r="B104" s="9">
        <v>46123</v>
      </c>
      <c r="C104" s="8" t="s">
        <v>23</v>
      </c>
      <c r="D104" s="8">
        <v>6</v>
      </c>
      <c r="E104" s="11">
        <v>17.5</v>
      </c>
      <c r="F104" s="11">
        <f>D104*E104</f>
        <v>105</v>
      </c>
      <c r="G104" s="11">
        <f>ROUND(F104*'Inputs &amp; notes'!$B$3,2)</f>
        <v>7.88</v>
      </c>
      <c r="H104" s="11">
        <f>F104+G104</f>
        <v>112.88</v>
      </c>
    </row>
    <row r="105" spans="1:8" x14ac:dyDescent="0.25">
      <c r="A105" s="12" t="s">
        <v>127</v>
      </c>
      <c r="B105" s="13">
        <v>46124</v>
      </c>
      <c r="C105" s="12" t="s">
        <v>25</v>
      </c>
      <c r="D105" s="12">
        <v>7</v>
      </c>
      <c r="E105" s="14">
        <v>10</v>
      </c>
      <c r="F105" s="14">
        <f>D105*E105</f>
        <v>70</v>
      </c>
      <c r="G105" s="14">
        <f>ROUND(F105*'Inputs &amp; notes'!$B$3,2)</f>
        <v>5.25</v>
      </c>
      <c r="H105" s="14">
        <f>F105+G105</f>
        <v>75.25</v>
      </c>
    </row>
    <row r="106" spans="1:8" x14ac:dyDescent="0.25">
      <c r="A106" s="8" t="s">
        <v>128</v>
      </c>
      <c r="B106" s="9">
        <v>46125</v>
      </c>
      <c r="C106" s="8" t="s">
        <v>27</v>
      </c>
      <c r="D106" s="8">
        <v>8</v>
      </c>
      <c r="E106" s="11">
        <v>11.25</v>
      </c>
      <c r="F106" s="11">
        <f>D106*E106</f>
        <v>90</v>
      </c>
      <c r="G106" s="11">
        <f>ROUND(F106*'Inputs &amp; notes'!$B$3,2)</f>
        <v>6.75</v>
      </c>
      <c r="H106" s="11">
        <f>F106+G106</f>
        <v>96.75</v>
      </c>
    </row>
    <row r="107" spans="1:8" x14ac:dyDescent="0.25">
      <c r="A107" s="12" t="s">
        <v>129</v>
      </c>
      <c r="B107" s="13">
        <v>46126</v>
      </c>
      <c r="C107" s="12" t="s">
        <v>29</v>
      </c>
      <c r="D107" s="12">
        <v>9</v>
      </c>
      <c r="E107" s="14">
        <v>12.5</v>
      </c>
      <c r="F107" s="14">
        <f>D107*E107</f>
        <v>112.5</v>
      </c>
      <c r="G107" s="14">
        <f>ROUND(F107*'Inputs &amp; notes'!$B$3,2)</f>
        <v>8.44</v>
      </c>
      <c r="H107" s="14">
        <f>F107+G107</f>
        <v>120.94</v>
      </c>
    </row>
    <row r="108" spans="1:8" x14ac:dyDescent="0.25">
      <c r="A108" s="8" t="s">
        <v>130</v>
      </c>
      <c r="B108" s="9">
        <v>46127</v>
      </c>
      <c r="C108" s="8" t="s">
        <v>23</v>
      </c>
      <c r="D108" s="8">
        <v>10</v>
      </c>
      <c r="E108" s="11">
        <v>13.75</v>
      </c>
      <c r="F108" s="11">
        <f>D108*E108</f>
        <v>137.5</v>
      </c>
      <c r="G108" s="11">
        <f>ROUND(F108*'Inputs &amp; notes'!$B$3,2)</f>
        <v>10.31</v>
      </c>
      <c r="H108" s="11">
        <f>F108+G108</f>
        <v>147.81</v>
      </c>
    </row>
    <row r="109" spans="1:8" x14ac:dyDescent="0.25">
      <c r="A109" s="12" t="s">
        <v>131</v>
      </c>
      <c r="B109" s="13">
        <v>46128</v>
      </c>
      <c r="C109" s="12" t="s">
        <v>25</v>
      </c>
      <c r="D109" s="12">
        <v>11</v>
      </c>
      <c r="E109" s="14">
        <v>15</v>
      </c>
      <c r="F109" s="14">
        <f>D109*E109</f>
        <v>165</v>
      </c>
      <c r="G109" s="14">
        <f>ROUND(F109*'Inputs &amp; notes'!$B$3,2)</f>
        <v>12.38</v>
      </c>
      <c r="H109" s="14">
        <f>F109+G109</f>
        <v>177.38</v>
      </c>
    </row>
    <row r="110" spans="1:8" x14ac:dyDescent="0.25">
      <c r="A110" s="8" t="s">
        <v>132</v>
      </c>
      <c r="B110" s="9">
        <v>46129</v>
      </c>
      <c r="C110" s="8" t="s">
        <v>27</v>
      </c>
      <c r="D110" s="8">
        <v>1</v>
      </c>
      <c r="E110" s="11">
        <v>16.25</v>
      </c>
      <c r="F110" s="11">
        <f>D110*E110</f>
        <v>16.25</v>
      </c>
      <c r="G110" s="11">
        <f>ROUND(F110*'Inputs &amp; notes'!$B$3,2)</f>
        <v>1.22</v>
      </c>
      <c r="H110" s="11">
        <f>F110+G110</f>
        <v>17.47</v>
      </c>
    </row>
    <row r="111" spans="1:8" x14ac:dyDescent="0.25">
      <c r="A111" s="12" t="s">
        <v>133</v>
      </c>
      <c r="B111" s="13">
        <v>46130</v>
      </c>
      <c r="C111" s="12" t="s">
        <v>29</v>
      </c>
      <c r="D111" s="12">
        <v>2</v>
      </c>
      <c r="E111" s="14">
        <v>17.5</v>
      </c>
      <c r="F111" s="14">
        <f>D111*E111</f>
        <v>35</v>
      </c>
      <c r="G111" s="14">
        <f>ROUND(F111*'Inputs &amp; notes'!$B$3,2)</f>
        <v>2.63</v>
      </c>
      <c r="H111" s="14">
        <f>F111+G111</f>
        <v>37.63</v>
      </c>
    </row>
    <row r="112" spans="1:8" x14ac:dyDescent="0.25">
      <c r="A112" s="8" t="s">
        <v>134</v>
      </c>
      <c r="B112" s="9">
        <v>46131</v>
      </c>
      <c r="C112" s="8" t="s">
        <v>23</v>
      </c>
      <c r="D112" s="8">
        <v>3</v>
      </c>
      <c r="E112" s="11">
        <v>10</v>
      </c>
      <c r="F112" s="11">
        <f>D112*E112</f>
        <v>30</v>
      </c>
      <c r="G112" s="11">
        <f>ROUND(F112*'Inputs &amp; notes'!$B$3,2)</f>
        <v>2.25</v>
      </c>
      <c r="H112" s="11">
        <f>F112+G112</f>
        <v>32.25</v>
      </c>
    </row>
    <row r="113" spans="1:8" x14ac:dyDescent="0.25">
      <c r="A113" s="12" t="s">
        <v>135</v>
      </c>
      <c r="B113" s="13">
        <v>46132</v>
      </c>
      <c r="C113" s="12" t="s">
        <v>25</v>
      </c>
      <c r="D113" s="12">
        <v>4</v>
      </c>
      <c r="E113" s="14">
        <v>11.25</v>
      </c>
      <c r="F113" s="14">
        <f>D113*E113</f>
        <v>45</v>
      </c>
      <c r="G113" s="14">
        <f>ROUND(F113*'Inputs &amp; notes'!$B$3,2)</f>
        <v>3.38</v>
      </c>
      <c r="H113" s="14">
        <f>F113+G113</f>
        <v>48.38</v>
      </c>
    </row>
    <row r="114" spans="1:8" x14ac:dyDescent="0.25">
      <c r="A114" s="8" t="s">
        <v>136</v>
      </c>
      <c r="B114" s="9">
        <v>46133</v>
      </c>
      <c r="C114" s="8" t="s">
        <v>27</v>
      </c>
      <c r="D114" s="8">
        <v>5</v>
      </c>
      <c r="E114" s="11">
        <v>12.5</v>
      </c>
      <c r="F114" s="11">
        <f>D114*E114</f>
        <v>62.5</v>
      </c>
      <c r="G114" s="11">
        <f>ROUND(F114*'Inputs &amp; notes'!$B$3,2)</f>
        <v>4.69</v>
      </c>
      <c r="H114" s="11">
        <f>F114+G114</f>
        <v>67.19</v>
      </c>
    </row>
    <row r="115" spans="1:8" x14ac:dyDescent="0.25">
      <c r="A115" s="12" t="s">
        <v>137</v>
      </c>
      <c r="B115" s="13">
        <v>46134</v>
      </c>
      <c r="C115" s="12" t="s">
        <v>29</v>
      </c>
      <c r="D115" s="12">
        <v>6</v>
      </c>
      <c r="E115" s="14">
        <v>13.75</v>
      </c>
      <c r="F115" s="14">
        <f>D115*E115</f>
        <v>82.5</v>
      </c>
      <c r="G115" s="14">
        <f>ROUND(F115*'Inputs &amp; notes'!$B$3,2)</f>
        <v>6.19</v>
      </c>
      <c r="H115" s="14">
        <f>F115+G115</f>
        <v>88.69</v>
      </c>
    </row>
    <row r="116" spans="1:8" x14ac:dyDescent="0.25">
      <c r="A116" s="8" t="s">
        <v>138</v>
      </c>
      <c r="B116" s="9">
        <v>46135</v>
      </c>
      <c r="C116" s="8" t="s">
        <v>23</v>
      </c>
      <c r="D116" s="8">
        <v>7</v>
      </c>
      <c r="E116" s="11">
        <v>15</v>
      </c>
      <c r="F116" s="11">
        <f>D116*E116</f>
        <v>105</v>
      </c>
      <c r="G116" s="11">
        <f>ROUND(F116*'Inputs &amp; notes'!$B$3,2)</f>
        <v>7.88</v>
      </c>
      <c r="H116" s="11">
        <f>F116+G116</f>
        <v>112.88</v>
      </c>
    </row>
    <row r="117" spans="1:8" x14ac:dyDescent="0.25">
      <c r="A117" s="12" t="s">
        <v>139</v>
      </c>
      <c r="B117" s="13">
        <v>46136</v>
      </c>
      <c r="C117" s="12" t="s">
        <v>25</v>
      </c>
      <c r="D117" s="12">
        <v>8</v>
      </c>
      <c r="E117" s="14">
        <v>16.25</v>
      </c>
      <c r="F117" s="14">
        <f>D117*E117</f>
        <v>130</v>
      </c>
      <c r="G117" s="14">
        <f>ROUND(F117*'Inputs &amp; notes'!$B$3,2)</f>
        <v>9.75</v>
      </c>
      <c r="H117" s="14">
        <f>F117+G117</f>
        <v>139.75</v>
      </c>
    </row>
    <row r="118" spans="1:8" x14ac:dyDescent="0.25">
      <c r="A118" s="8" t="s">
        <v>140</v>
      </c>
      <c r="B118" s="9">
        <v>46137</v>
      </c>
      <c r="C118" s="8" t="s">
        <v>27</v>
      </c>
      <c r="D118" s="8">
        <v>9</v>
      </c>
      <c r="E118" s="11">
        <v>17.5</v>
      </c>
      <c r="F118" s="11">
        <f>D118*E118</f>
        <v>157.5</v>
      </c>
      <c r="G118" s="11">
        <f>ROUND(F118*'Inputs &amp; notes'!$B$3,2)</f>
        <v>11.81</v>
      </c>
      <c r="H118" s="11">
        <f>F118+G118</f>
        <v>169.31</v>
      </c>
    </row>
    <row r="119" spans="1:8" x14ac:dyDescent="0.25">
      <c r="A119" s="12" t="s">
        <v>141</v>
      </c>
      <c r="B119" s="13">
        <v>46138</v>
      </c>
      <c r="C119" s="12" t="s">
        <v>29</v>
      </c>
      <c r="D119" s="12">
        <v>10</v>
      </c>
      <c r="E119" s="14">
        <v>10</v>
      </c>
      <c r="F119" s="14">
        <f>D119*E119</f>
        <v>100</v>
      </c>
      <c r="G119" s="14">
        <f>ROUND(F119*'Inputs &amp; notes'!$B$3,2)</f>
        <v>7.5</v>
      </c>
      <c r="H119" s="14">
        <f>F119+G119</f>
        <v>107.5</v>
      </c>
    </row>
    <row r="120" spans="1:8" x14ac:dyDescent="0.25">
      <c r="A120" s="8" t="s">
        <v>142</v>
      </c>
      <c r="B120" s="9">
        <v>46139</v>
      </c>
      <c r="C120" s="8" t="s">
        <v>23</v>
      </c>
      <c r="D120" s="8">
        <v>11</v>
      </c>
      <c r="E120" s="11">
        <v>11.25</v>
      </c>
      <c r="F120" s="11">
        <f>D120*E120</f>
        <v>123.75</v>
      </c>
      <c r="G120" s="11">
        <f>ROUND(F120*'Inputs &amp; notes'!$B$3,2)</f>
        <v>9.28</v>
      </c>
      <c r="H120" s="11">
        <f>F120+G120</f>
        <v>133.03</v>
      </c>
    </row>
    <row r="121" spans="1:8" x14ac:dyDescent="0.25">
      <c r="A121" s="12" t="s">
        <v>143</v>
      </c>
      <c r="B121" s="13">
        <v>46140</v>
      </c>
      <c r="C121" s="12" t="s">
        <v>25</v>
      </c>
      <c r="D121" s="12">
        <v>1</v>
      </c>
      <c r="E121" s="14">
        <v>12.5</v>
      </c>
      <c r="F121" s="14">
        <f>D121*E121</f>
        <v>12.5</v>
      </c>
      <c r="G121" s="14">
        <f>ROUND(F121*'Inputs &amp; notes'!$B$3,2)</f>
        <v>0.94</v>
      </c>
      <c r="H121" s="14">
        <f>F121+G121</f>
        <v>13.44</v>
      </c>
    </row>
    <row r="122" spans="1:8" x14ac:dyDescent="0.25">
      <c r="A122" s="8" t="s">
        <v>144</v>
      </c>
      <c r="B122" s="9">
        <v>46141</v>
      </c>
      <c r="C122" s="8" t="s">
        <v>27</v>
      </c>
      <c r="D122" s="8">
        <v>2</v>
      </c>
      <c r="E122" s="11">
        <v>13.75</v>
      </c>
      <c r="F122" s="11">
        <f>D122*E122</f>
        <v>27.5</v>
      </c>
      <c r="G122" s="11">
        <f>ROUND(F122*'Inputs &amp; notes'!$B$3,2)</f>
        <v>2.06</v>
      </c>
      <c r="H122" s="11">
        <f>F122+G122</f>
        <v>29.56</v>
      </c>
    </row>
    <row r="123" spans="1:8" x14ac:dyDescent="0.25">
      <c r="A123" s="12" t="s">
        <v>145</v>
      </c>
      <c r="B123" s="13">
        <v>46142</v>
      </c>
      <c r="C123" s="12" t="s">
        <v>29</v>
      </c>
      <c r="D123" s="12">
        <v>3</v>
      </c>
      <c r="E123" s="14">
        <v>15</v>
      </c>
      <c r="F123" s="14">
        <f>D123*E123</f>
        <v>45</v>
      </c>
      <c r="G123" s="14">
        <f>ROUND(F123*'Inputs &amp; notes'!$B$3,2)</f>
        <v>3.38</v>
      </c>
      <c r="H123" s="14">
        <f>F123+G123</f>
        <v>48.38</v>
      </c>
    </row>
    <row r="124" spans="1:8" x14ac:dyDescent="0.25">
      <c r="A124" s="8" t="s">
        <v>146</v>
      </c>
      <c r="B124" s="9">
        <v>46143</v>
      </c>
      <c r="C124" s="8" t="s">
        <v>23</v>
      </c>
      <c r="D124" s="8">
        <v>4</v>
      </c>
      <c r="E124" s="11">
        <v>16.25</v>
      </c>
      <c r="F124" s="11">
        <f>D124*E124</f>
        <v>65</v>
      </c>
      <c r="G124" s="11">
        <f>ROUND(F124*'Inputs &amp; notes'!$B$3,2)</f>
        <v>4.88</v>
      </c>
      <c r="H124" s="11">
        <f>F124+G124</f>
        <v>69.88</v>
      </c>
    </row>
    <row r="125" spans="1:8" x14ac:dyDescent="0.25">
      <c r="A125" s="12" t="s">
        <v>147</v>
      </c>
      <c r="B125" s="13">
        <v>46144</v>
      </c>
      <c r="C125" s="12" t="s">
        <v>25</v>
      </c>
      <c r="D125" s="12">
        <v>5</v>
      </c>
      <c r="E125" s="14">
        <v>17.5</v>
      </c>
      <c r="F125" s="14">
        <f>D125*E125</f>
        <v>87.5</v>
      </c>
      <c r="G125" s="14">
        <f>ROUND(F125*'Inputs &amp; notes'!$B$3,2)</f>
        <v>6.56</v>
      </c>
      <c r="H125" s="14">
        <f>F125+G125</f>
        <v>94.06</v>
      </c>
    </row>
    <row r="126" spans="1:8" x14ac:dyDescent="0.25">
      <c r="A126" s="8" t="s">
        <v>148</v>
      </c>
      <c r="B126" s="9">
        <v>46145</v>
      </c>
      <c r="C126" s="8" t="s">
        <v>27</v>
      </c>
      <c r="D126" s="8">
        <v>6</v>
      </c>
      <c r="E126" s="11">
        <v>10</v>
      </c>
      <c r="F126" s="11">
        <f>D126*E126</f>
        <v>60</v>
      </c>
      <c r="G126" s="11">
        <f>ROUND(F126*'Inputs &amp; notes'!$B$3,2)</f>
        <v>4.5</v>
      </c>
      <c r="H126" s="11">
        <f>F126+G126</f>
        <v>64.5</v>
      </c>
    </row>
    <row r="127" spans="1:8" x14ac:dyDescent="0.25">
      <c r="A127" s="12" t="s">
        <v>149</v>
      </c>
      <c r="B127" s="13">
        <v>46146</v>
      </c>
      <c r="C127" s="12" t="s">
        <v>29</v>
      </c>
      <c r="D127" s="12">
        <v>7</v>
      </c>
      <c r="E127" s="14">
        <v>11.25</v>
      </c>
      <c r="F127" s="14">
        <f>D127*E127</f>
        <v>78.75</v>
      </c>
      <c r="G127" s="14">
        <f>ROUND(F127*'Inputs &amp; notes'!$B$3,2)</f>
        <v>5.91</v>
      </c>
      <c r="H127" s="14">
        <f>F127+G127</f>
        <v>84.66</v>
      </c>
    </row>
    <row r="128" spans="1:8" x14ac:dyDescent="0.25">
      <c r="A128" s="8" t="s">
        <v>150</v>
      </c>
      <c r="B128" s="9">
        <v>46147</v>
      </c>
      <c r="C128" s="8" t="s">
        <v>23</v>
      </c>
      <c r="D128" s="8">
        <v>8</v>
      </c>
      <c r="E128" s="11">
        <v>12.5</v>
      </c>
      <c r="F128" s="11">
        <f>D128*E128</f>
        <v>100</v>
      </c>
      <c r="G128" s="11">
        <f>ROUND(F128*'Inputs &amp; notes'!$B$3,2)</f>
        <v>7.5</v>
      </c>
      <c r="H128" s="11">
        <f>F128+G128</f>
        <v>107.5</v>
      </c>
    </row>
    <row r="129" spans="1:8" x14ac:dyDescent="0.25">
      <c r="A129" s="12" t="s">
        <v>151</v>
      </c>
      <c r="B129" s="13">
        <v>46148</v>
      </c>
      <c r="C129" s="12" t="s">
        <v>25</v>
      </c>
      <c r="D129" s="12">
        <v>9</v>
      </c>
      <c r="E129" s="14">
        <v>13.75</v>
      </c>
      <c r="F129" s="14">
        <f>D129*E129</f>
        <v>123.75</v>
      </c>
      <c r="G129" s="14">
        <f>ROUND(F129*'Inputs &amp; notes'!$B$3,2)</f>
        <v>9.28</v>
      </c>
      <c r="H129" s="14">
        <f>F129+G129</f>
        <v>133.03</v>
      </c>
    </row>
    <row r="130" spans="1:8" x14ac:dyDescent="0.25">
      <c r="A130" s="8" t="s">
        <v>152</v>
      </c>
      <c r="B130" s="9">
        <v>46149</v>
      </c>
      <c r="C130" s="8" t="s">
        <v>27</v>
      </c>
      <c r="D130" s="8">
        <v>10</v>
      </c>
      <c r="E130" s="11">
        <v>15</v>
      </c>
      <c r="F130" s="11">
        <f>D130*E130</f>
        <v>150</v>
      </c>
      <c r="G130" s="11">
        <f>ROUND(F130*'Inputs &amp; notes'!$B$3,2)</f>
        <v>11.25</v>
      </c>
      <c r="H130" s="11">
        <f>F130+G130</f>
        <v>161.25</v>
      </c>
    </row>
    <row r="131" spans="1:8" x14ac:dyDescent="0.25">
      <c r="A131" s="12" t="s">
        <v>153</v>
      </c>
      <c r="B131" s="13">
        <v>46150</v>
      </c>
      <c r="C131" s="12" t="s">
        <v>29</v>
      </c>
      <c r="D131" s="12">
        <v>11</v>
      </c>
      <c r="E131" s="14">
        <v>16.25</v>
      </c>
      <c r="F131" s="14">
        <f>D131*E131</f>
        <v>178.75</v>
      </c>
      <c r="G131" s="14">
        <f>ROUND(F131*'Inputs &amp; notes'!$B$3,2)</f>
        <v>13.41</v>
      </c>
      <c r="H131" s="14">
        <f>F131+G131</f>
        <v>192.16</v>
      </c>
    </row>
    <row r="132" spans="1:8" x14ac:dyDescent="0.25">
      <c r="A132" s="8" t="s">
        <v>154</v>
      </c>
      <c r="B132" s="9">
        <v>46151</v>
      </c>
      <c r="C132" s="8" t="s">
        <v>23</v>
      </c>
      <c r="D132" s="8">
        <v>1</v>
      </c>
      <c r="E132" s="11">
        <v>17.5</v>
      </c>
      <c r="F132" s="11">
        <f>D132*E132</f>
        <v>17.5</v>
      </c>
      <c r="G132" s="11">
        <f>ROUND(F132*'Inputs &amp; notes'!$B$3,2)</f>
        <v>1.31</v>
      </c>
      <c r="H132" s="11">
        <f>F132+G132</f>
        <v>18.81</v>
      </c>
    </row>
    <row r="133" spans="1:8" x14ac:dyDescent="0.25">
      <c r="A133" s="12" t="s">
        <v>155</v>
      </c>
      <c r="B133" s="13">
        <v>46152</v>
      </c>
      <c r="C133" s="12" t="s">
        <v>25</v>
      </c>
      <c r="D133" s="12">
        <v>2</v>
      </c>
      <c r="E133" s="14">
        <v>10</v>
      </c>
      <c r="F133" s="14">
        <f>D133*E133</f>
        <v>20</v>
      </c>
      <c r="G133" s="14">
        <f>ROUND(F133*'Inputs &amp; notes'!$B$3,2)</f>
        <v>1.5</v>
      </c>
      <c r="H133" s="14">
        <f>F133+G133</f>
        <v>21.5</v>
      </c>
    </row>
    <row r="134" spans="1:8" x14ac:dyDescent="0.25">
      <c r="A134" s="8" t="s">
        <v>156</v>
      </c>
      <c r="B134" s="9">
        <v>46153</v>
      </c>
      <c r="C134" s="8" t="s">
        <v>27</v>
      </c>
      <c r="D134" s="8">
        <v>3</v>
      </c>
      <c r="E134" s="11">
        <v>11.25</v>
      </c>
      <c r="F134" s="11">
        <f>D134*E134</f>
        <v>33.75</v>
      </c>
      <c r="G134" s="11">
        <f>ROUND(F134*'Inputs &amp; notes'!$B$3,2)</f>
        <v>2.53</v>
      </c>
      <c r="H134" s="11">
        <f>F134+G134</f>
        <v>36.28</v>
      </c>
    </row>
    <row r="135" spans="1:8" x14ac:dyDescent="0.25">
      <c r="A135" s="12" t="s">
        <v>157</v>
      </c>
      <c r="B135" s="13">
        <v>46154</v>
      </c>
      <c r="C135" s="12" t="s">
        <v>29</v>
      </c>
      <c r="D135" s="12">
        <v>4</v>
      </c>
      <c r="E135" s="14">
        <v>12.5</v>
      </c>
      <c r="F135" s="14">
        <f>D135*E135</f>
        <v>50</v>
      </c>
      <c r="G135" s="14">
        <f>ROUND(F135*'Inputs &amp; notes'!$B$3,2)</f>
        <v>3.75</v>
      </c>
      <c r="H135" s="14">
        <f>F135+G135</f>
        <v>53.75</v>
      </c>
    </row>
    <row r="136" spans="1:8" x14ac:dyDescent="0.25">
      <c r="A136" s="8" t="s">
        <v>158</v>
      </c>
      <c r="B136" s="9">
        <v>46155</v>
      </c>
      <c r="C136" s="8" t="s">
        <v>23</v>
      </c>
      <c r="D136" s="8">
        <v>5</v>
      </c>
      <c r="E136" s="11">
        <v>13.75</v>
      </c>
      <c r="F136" s="11">
        <f>D136*E136</f>
        <v>68.75</v>
      </c>
      <c r="G136" s="11">
        <f>ROUND(F136*'Inputs &amp; notes'!$B$3,2)</f>
        <v>5.16</v>
      </c>
      <c r="H136" s="11">
        <f>F136+G136</f>
        <v>73.91</v>
      </c>
    </row>
    <row r="137" spans="1:8" x14ac:dyDescent="0.25">
      <c r="A137" s="12" t="s">
        <v>159</v>
      </c>
      <c r="B137" s="13">
        <v>46156</v>
      </c>
      <c r="C137" s="12" t="s">
        <v>25</v>
      </c>
      <c r="D137" s="12">
        <v>6</v>
      </c>
      <c r="E137" s="14">
        <v>15</v>
      </c>
      <c r="F137" s="14">
        <f>D137*E137</f>
        <v>90</v>
      </c>
      <c r="G137" s="14">
        <f>ROUND(F137*'Inputs &amp; notes'!$B$3,2)</f>
        <v>6.75</v>
      </c>
      <c r="H137" s="14">
        <f>F137+G137</f>
        <v>96.75</v>
      </c>
    </row>
    <row r="138" spans="1:8" x14ac:dyDescent="0.25">
      <c r="A138" s="8" t="s">
        <v>160</v>
      </c>
      <c r="B138" s="9">
        <v>46157</v>
      </c>
      <c r="C138" s="8" t="s">
        <v>27</v>
      </c>
      <c r="D138" s="8">
        <v>7</v>
      </c>
      <c r="E138" s="11">
        <v>16.25</v>
      </c>
      <c r="F138" s="11">
        <f>D138*E138</f>
        <v>113.75</v>
      </c>
      <c r="G138" s="11">
        <f>ROUND(F138*'Inputs &amp; notes'!$B$3,2)</f>
        <v>8.53</v>
      </c>
      <c r="H138" s="11">
        <f>F138+G138</f>
        <v>122.28</v>
      </c>
    </row>
    <row r="139" spans="1:8" x14ac:dyDescent="0.25">
      <c r="A139" s="12" t="s">
        <v>161</v>
      </c>
      <c r="B139" s="13">
        <v>46158</v>
      </c>
      <c r="C139" s="12" t="s">
        <v>29</v>
      </c>
      <c r="D139" s="12">
        <v>8</v>
      </c>
      <c r="E139" s="14">
        <v>17.5</v>
      </c>
      <c r="F139" s="14">
        <f>D139*E139</f>
        <v>140</v>
      </c>
      <c r="G139" s="14">
        <f>ROUND(F139*'Inputs &amp; notes'!$B$3,2)</f>
        <v>10.5</v>
      </c>
      <c r="H139" s="14">
        <f>F139+G139</f>
        <v>150.5</v>
      </c>
    </row>
    <row r="140" spans="1:8" x14ac:dyDescent="0.25">
      <c r="A140" s="8" t="s">
        <v>162</v>
      </c>
      <c r="B140" s="9">
        <v>46159</v>
      </c>
      <c r="C140" s="8" t="s">
        <v>23</v>
      </c>
      <c r="D140" s="8">
        <v>9</v>
      </c>
      <c r="E140" s="11">
        <v>10</v>
      </c>
      <c r="F140" s="11">
        <f>D140*E140</f>
        <v>90</v>
      </c>
      <c r="G140" s="11">
        <f>ROUND(F140*'Inputs &amp; notes'!$B$3,2)</f>
        <v>6.75</v>
      </c>
      <c r="H140" s="11">
        <f>F140+G140</f>
        <v>96.75</v>
      </c>
    </row>
    <row r="141" spans="1:8" x14ac:dyDescent="0.25">
      <c r="A141" s="12" t="s">
        <v>163</v>
      </c>
      <c r="B141" s="13">
        <v>46160</v>
      </c>
      <c r="C141" s="12" t="s">
        <v>25</v>
      </c>
      <c r="D141" s="12">
        <v>10</v>
      </c>
      <c r="E141" s="14">
        <v>11.25</v>
      </c>
      <c r="F141" s="14">
        <f>D141*E141</f>
        <v>112.5</v>
      </c>
      <c r="G141" s="14">
        <f>ROUND(F141*'Inputs &amp; notes'!$B$3,2)</f>
        <v>8.44</v>
      </c>
      <c r="H141" s="14">
        <f>F141+G141</f>
        <v>120.94</v>
      </c>
    </row>
    <row r="142" spans="1:8" x14ac:dyDescent="0.25">
      <c r="A142" s="8" t="s">
        <v>164</v>
      </c>
      <c r="B142" s="9">
        <v>46161</v>
      </c>
      <c r="C142" s="8" t="s">
        <v>27</v>
      </c>
      <c r="D142" s="8">
        <v>11</v>
      </c>
      <c r="E142" s="11">
        <v>12.5</v>
      </c>
      <c r="F142" s="11">
        <f>D142*E142</f>
        <v>137.5</v>
      </c>
      <c r="G142" s="11">
        <f>ROUND(F142*'Inputs &amp; notes'!$B$3,2)</f>
        <v>10.31</v>
      </c>
      <c r="H142" s="11">
        <f>F142+G142</f>
        <v>147.81</v>
      </c>
    </row>
    <row r="143" spans="1:8" x14ac:dyDescent="0.25">
      <c r="A143" s="12" t="s">
        <v>165</v>
      </c>
      <c r="B143" s="13">
        <v>46162</v>
      </c>
      <c r="C143" s="12" t="s">
        <v>29</v>
      </c>
      <c r="D143" s="12">
        <v>1</v>
      </c>
      <c r="E143" s="14">
        <v>13.75</v>
      </c>
      <c r="F143" s="14">
        <f>D143*E143</f>
        <v>13.75</v>
      </c>
      <c r="G143" s="14">
        <f>ROUND(F143*'Inputs &amp; notes'!$B$3,2)</f>
        <v>1.03</v>
      </c>
      <c r="H143" s="14">
        <f>F143+G143</f>
        <v>14.78</v>
      </c>
    </row>
    <row r="144" spans="1:8" x14ac:dyDescent="0.25">
      <c r="A144" s="8" t="s">
        <v>166</v>
      </c>
      <c r="B144" s="9">
        <v>46163</v>
      </c>
      <c r="C144" s="8" t="s">
        <v>23</v>
      </c>
      <c r="D144" s="8">
        <v>2</v>
      </c>
      <c r="E144" s="11">
        <v>15</v>
      </c>
      <c r="F144" s="11">
        <f>D144*E144</f>
        <v>30</v>
      </c>
      <c r="G144" s="11">
        <f>ROUND(F144*'Inputs &amp; notes'!$B$3,2)</f>
        <v>2.25</v>
      </c>
      <c r="H144" s="11">
        <f>F144+G144</f>
        <v>32.25</v>
      </c>
    </row>
    <row r="145" spans="1:8" x14ac:dyDescent="0.25">
      <c r="A145" s="12" t="s">
        <v>167</v>
      </c>
      <c r="B145" s="13">
        <v>46164</v>
      </c>
      <c r="C145" s="12" t="s">
        <v>25</v>
      </c>
      <c r="D145" s="12">
        <v>3</v>
      </c>
      <c r="E145" s="14">
        <v>16.25</v>
      </c>
      <c r="F145" s="14">
        <f>D145*E145</f>
        <v>48.75</v>
      </c>
      <c r="G145" s="14">
        <f>ROUND(F145*'Inputs &amp; notes'!$B$3,2)</f>
        <v>3.66</v>
      </c>
      <c r="H145" s="14">
        <f>F145+G145</f>
        <v>52.41</v>
      </c>
    </row>
    <row r="146" spans="1:8" x14ac:dyDescent="0.25">
      <c r="A146" s="8" t="s">
        <v>168</v>
      </c>
      <c r="B146" s="9">
        <v>46165</v>
      </c>
      <c r="C146" s="8" t="s">
        <v>27</v>
      </c>
      <c r="D146" s="8">
        <v>4</v>
      </c>
      <c r="E146" s="11">
        <v>17.5</v>
      </c>
      <c r="F146" s="11">
        <f>D146*E146</f>
        <v>70</v>
      </c>
      <c r="G146" s="11">
        <f>ROUND(F146*'Inputs &amp; notes'!$B$3,2)</f>
        <v>5.25</v>
      </c>
      <c r="H146" s="11">
        <f>F146+G146</f>
        <v>75.25</v>
      </c>
    </row>
    <row r="147" spans="1:8" x14ac:dyDescent="0.25">
      <c r="A147" s="12" t="s">
        <v>169</v>
      </c>
      <c r="B147" s="13">
        <v>46166</v>
      </c>
      <c r="C147" s="12" t="s">
        <v>29</v>
      </c>
      <c r="D147" s="12">
        <v>5</v>
      </c>
      <c r="E147" s="14">
        <v>10</v>
      </c>
      <c r="F147" s="14">
        <f>D147*E147</f>
        <v>50</v>
      </c>
      <c r="G147" s="14">
        <f>ROUND(F147*'Inputs &amp; notes'!$B$3,2)</f>
        <v>3.75</v>
      </c>
      <c r="H147" s="14">
        <f>F147+G147</f>
        <v>53.75</v>
      </c>
    </row>
    <row r="148" spans="1:8" x14ac:dyDescent="0.25">
      <c r="A148" s="8" t="s">
        <v>170</v>
      </c>
      <c r="B148" s="9">
        <v>46167</v>
      </c>
      <c r="C148" s="8" t="s">
        <v>23</v>
      </c>
      <c r="D148" s="8">
        <v>6</v>
      </c>
      <c r="E148" s="11">
        <v>11.25</v>
      </c>
      <c r="F148" s="11">
        <f>D148*E148</f>
        <v>67.5</v>
      </c>
      <c r="G148" s="11">
        <f>ROUND(F148*'Inputs &amp; notes'!$B$3,2)</f>
        <v>5.06</v>
      </c>
      <c r="H148" s="11">
        <f>F148+G148</f>
        <v>72.56</v>
      </c>
    </row>
    <row r="149" spans="1:8" x14ac:dyDescent="0.25">
      <c r="A149" s="12" t="s">
        <v>171</v>
      </c>
      <c r="B149" s="13">
        <v>46168</v>
      </c>
      <c r="C149" s="12" t="s">
        <v>25</v>
      </c>
      <c r="D149" s="12">
        <v>7</v>
      </c>
      <c r="E149" s="14">
        <v>12.5</v>
      </c>
      <c r="F149" s="14">
        <f>D149*E149</f>
        <v>87.5</v>
      </c>
      <c r="G149" s="14">
        <f>ROUND(F149*'Inputs &amp; notes'!$B$3,2)</f>
        <v>6.56</v>
      </c>
      <c r="H149" s="14">
        <f>F149+G149</f>
        <v>94.06</v>
      </c>
    </row>
    <row r="150" spans="1:8" x14ac:dyDescent="0.25">
      <c r="A150" s="8" t="s">
        <v>172</v>
      </c>
      <c r="B150" s="9">
        <v>46169</v>
      </c>
      <c r="C150" s="8" t="s">
        <v>27</v>
      </c>
      <c r="D150" s="8">
        <v>8</v>
      </c>
      <c r="E150" s="11">
        <v>13.75</v>
      </c>
      <c r="F150" s="11">
        <f>D150*E150</f>
        <v>110</v>
      </c>
      <c r="G150" s="11">
        <f>ROUND(F150*'Inputs &amp; notes'!$B$3,2)</f>
        <v>8.25</v>
      </c>
      <c r="H150" s="11">
        <f>F150+G150</f>
        <v>118.25</v>
      </c>
    </row>
    <row r="151" spans="1:8" x14ac:dyDescent="0.25">
      <c r="A151" s="12" t="s">
        <v>173</v>
      </c>
      <c r="B151" s="13">
        <v>46170</v>
      </c>
      <c r="C151" s="12" t="s">
        <v>29</v>
      </c>
      <c r="D151" s="12">
        <v>9</v>
      </c>
      <c r="E151" s="14">
        <v>15</v>
      </c>
      <c r="F151" s="14">
        <f>D151*E151</f>
        <v>135</v>
      </c>
      <c r="G151" s="14">
        <f>ROUND(F151*'Inputs &amp; notes'!$B$3,2)</f>
        <v>10.13</v>
      </c>
      <c r="H151" s="14">
        <f>F151+G151</f>
        <v>145.13</v>
      </c>
    </row>
    <row r="152" spans="1:8" x14ac:dyDescent="0.25">
      <c r="A152" s="8" t="s">
        <v>174</v>
      </c>
      <c r="B152" s="9">
        <v>46171</v>
      </c>
      <c r="C152" s="8" t="s">
        <v>23</v>
      </c>
      <c r="D152" s="8">
        <v>10</v>
      </c>
      <c r="E152" s="11">
        <v>16.25</v>
      </c>
      <c r="F152" s="11">
        <f>D152*E152</f>
        <v>162.5</v>
      </c>
      <c r="G152" s="11">
        <f>ROUND(F152*'Inputs &amp; notes'!$B$3,2)</f>
        <v>12.19</v>
      </c>
      <c r="H152" s="11">
        <f>F152+G152</f>
        <v>174.69</v>
      </c>
    </row>
    <row r="153" spans="1:8" x14ac:dyDescent="0.25">
      <c r="A153" s="12" t="s">
        <v>175</v>
      </c>
      <c r="B153" s="13">
        <v>46172</v>
      </c>
      <c r="C153" s="12" t="s">
        <v>25</v>
      </c>
      <c r="D153" s="12">
        <v>11</v>
      </c>
      <c r="E153" s="14">
        <v>17.5</v>
      </c>
      <c r="F153" s="14">
        <f>D153*E153</f>
        <v>192.5</v>
      </c>
      <c r="G153" s="14">
        <f>ROUND(F153*'Inputs &amp; notes'!$B$3,2)</f>
        <v>14.44</v>
      </c>
      <c r="H153" s="14">
        <f>F153+G153</f>
        <v>206.94</v>
      </c>
    </row>
    <row r="154" spans="1:8" x14ac:dyDescent="0.25">
      <c r="A154" s="8" t="s">
        <v>176</v>
      </c>
      <c r="B154" s="9">
        <v>46173</v>
      </c>
      <c r="C154" s="8" t="s">
        <v>27</v>
      </c>
      <c r="D154" s="8">
        <v>1</v>
      </c>
      <c r="E154" s="11">
        <v>10</v>
      </c>
      <c r="F154" s="11">
        <f>D154*E154</f>
        <v>10</v>
      </c>
      <c r="G154" s="11">
        <f>ROUND(F154*'Inputs &amp; notes'!$B$3,2)</f>
        <v>0.75</v>
      </c>
      <c r="H154" s="11">
        <f>F154+G154</f>
        <v>10.75</v>
      </c>
    </row>
    <row r="155" spans="1:8" x14ac:dyDescent="0.25">
      <c r="A155" s="12" t="s">
        <v>177</v>
      </c>
      <c r="B155" s="13">
        <v>46174</v>
      </c>
      <c r="C155" s="12" t="s">
        <v>29</v>
      </c>
      <c r="D155" s="12">
        <v>2</v>
      </c>
      <c r="E155" s="14">
        <v>11.25</v>
      </c>
      <c r="F155" s="14">
        <f>D155*E155</f>
        <v>22.5</v>
      </c>
      <c r="G155" s="14">
        <f>ROUND(F155*'Inputs &amp; notes'!$B$3,2)</f>
        <v>1.69</v>
      </c>
      <c r="H155" s="14">
        <f>F155+G155</f>
        <v>24.19</v>
      </c>
    </row>
    <row r="156" spans="1:8" x14ac:dyDescent="0.25">
      <c r="A156" s="8" t="s">
        <v>178</v>
      </c>
      <c r="B156" s="9">
        <v>46175</v>
      </c>
      <c r="C156" s="8" t="s">
        <v>23</v>
      </c>
      <c r="D156" s="8">
        <v>3</v>
      </c>
      <c r="E156" s="11">
        <v>12.5</v>
      </c>
      <c r="F156" s="11">
        <f>D156*E156</f>
        <v>37.5</v>
      </c>
      <c r="G156" s="11">
        <f>ROUND(F156*'Inputs &amp; notes'!$B$3,2)</f>
        <v>2.81</v>
      </c>
      <c r="H156" s="11">
        <f>F156+G156</f>
        <v>40.31</v>
      </c>
    </row>
    <row r="157" spans="1:8" x14ac:dyDescent="0.25">
      <c r="A157" s="12" t="s">
        <v>179</v>
      </c>
      <c r="B157" s="13">
        <v>46176</v>
      </c>
      <c r="C157" s="12" t="s">
        <v>25</v>
      </c>
      <c r="D157" s="12">
        <v>4</v>
      </c>
      <c r="E157" s="14">
        <v>13.75</v>
      </c>
      <c r="F157" s="14">
        <f>D157*E157</f>
        <v>55</v>
      </c>
      <c r="G157" s="14">
        <f>ROUND(F157*'Inputs &amp; notes'!$B$3,2)</f>
        <v>4.13</v>
      </c>
      <c r="H157" s="14">
        <f>F157+G157</f>
        <v>59.13</v>
      </c>
    </row>
    <row r="158" spans="1:8" x14ac:dyDescent="0.25">
      <c r="A158" s="8" t="s">
        <v>180</v>
      </c>
      <c r="B158" s="9">
        <v>46177</v>
      </c>
      <c r="C158" s="8" t="s">
        <v>27</v>
      </c>
      <c r="D158" s="8">
        <v>5</v>
      </c>
      <c r="E158" s="11">
        <v>15</v>
      </c>
      <c r="F158" s="11">
        <f>D158*E158</f>
        <v>75</v>
      </c>
      <c r="G158" s="11">
        <f>ROUND(F158*'Inputs &amp; notes'!$B$3,2)</f>
        <v>5.63</v>
      </c>
      <c r="H158" s="11">
        <f>F158+G158</f>
        <v>80.63</v>
      </c>
    </row>
    <row r="159" spans="1:8" x14ac:dyDescent="0.25">
      <c r="A159" s="12" t="s">
        <v>181</v>
      </c>
      <c r="B159" s="13">
        <v>46178</v>
      </c>
      <c r="C159" s="12" t="s">
        <v>29</v>
      </c>
      <c r="D159" s="12">
        <v>6</v>
      </c>
      <c r="E159" s="14">
        <v>16.25</v>
      </c>
      <c r="F159" s="14">
        <f>D159*E159</f>
        <v>97.5</v>
      </c>
      <c r="G159" s="14">
        <f>ROUND(F159*'Inputs &amp; notes'!$B$3,2)</f>
        <v>7.31</v>
      </c>
      <c r="H159" s="14">
        <f>F159+G159</f>
        <v>104.81</v>
      </c>
    </row>
    <row r="160" spans="1:8" x14ac:dyDescent="0.25">
      <c r="A160" s="8" t="s">
        <v>182</v>
      </c>
      <c r="B160" s="9">
        <v>46179</v>
      </c>
      <c r="C160" s="8" t="s">
        <v>23</v>
      </c>
      <c r="D160" s="8">
        <v>7</v>
      </c>
      <c r="E160" s="11">
        <v>17.5</v>
      </c>
      <c r="F160" s="11">
        <f>D160*E160</f>
        <v>122.5</v>
      </c>
      <c r="G160" s="11">
        <f>ROUND(F160*'Inputs &amp; notes'!$B$3,2)</f>
        <v>9.19</v>
      </c>
      <c r="H160" s="11">
        <f>F160+G160</f>
        <v>131.69</v>
      </c>
    </row>
    <row r="161" spans="1:8" x14ac:dyDescent="0.25">
      <c r="A161" s="12" t="s">
        <v>183</v>
      </c>
      <c r="B161" s="13">
        <v>46180</v>
      </c>
      <c r="C161" s="12" t="s">
        <v>25</v>
      </c>
      <c r="D161" s="12">
        <v>8</v>
      </c>
      <c r="E161" s="14">
        <v>10</v>
      </c>
      <c r="F161" s="14">
        <f>D161*E161</f>
        <v>80</v>
      </c>
      <c r="G161" s="14">
        <f>ROUND(F161*'Inputs &amp; notes'!$B$3,2)</f>
        <v>6</v>
      </c>
      <c r="H161" s="14">
        <f>F161+G161</f>
        <v>86</v>
      </c>
    </row>
    <row r="162" spans="1:8" x14ac:dyDescent="0.25">
      <c r="A162" s="8" t="s">
        <v>184</v>
      </c>
      <c r="B162" s="9">
        <v>46181</v>
      </c>
      <c r="C162" s="8" t="s">
        <v>27</v>
      </c>
      <c r="D162" s="8">
        <v>9</v>
      </c>
      <c r="E162" s="11">
        <v>11.25</v>
      </c>
      <c r="F162" s="11">
        <f>D162*E162</f>
        <v>101.25</v>
      </c>
      <c r="G162" s="11">
        <f>ROUND(F162*'Inputs &amp; notes'!$B$3,2)</f>
        <v>7.59</v>
      </c>
      <c r="H162" s="11">
        <f>F162+G162</f>
        <v>108.84</v>
      </c>
    </row>
    <row r="163" spans="1:8" x14ac:dyDescent="0.25">
      <c r="A163" s="12" t="s">
        <v>185</v>
      </c>
      <c r="B163" s="13">
        <v>46182</v>
      </c>
      <c r="C163" s="12" t="s">
        <v>29</v>
      </c>
      <c r="D163" s="12">
        <v>10</v>
      </c>
      <c r="E163" s="14">
        <v>12.5</v>
      </c>
      <c r="F163" s="14">
        <f>D163*E163</f>
        <v>125</v>
      </c>
      <c r="G163" s="14">
        <f>ROUND(F163*'Inputs &amp; notes'!$B$3,2)</f>
        <v>9.38</v>
      </c>
      <c r="H163" s="14">
        <f>F163+G163</f>
        <v>134.38</v>
      </c>
    </row>
    <row r="164" spans="1:8" x14ac:dyDescent="0.25">
      <c r="A164" s="8" t="s">
        <v>186</v>
      </c>
      <c r="B164" s="9">
        <v>46183</v>
      </c>
      <c r="C164" s="8" t="s">
        <v>23</v>
      </c>
      <c r="D164" s="8">
        <v>11</v>
      </c>
      <c r="E164" s="11">
        <v>13.75</v>
      </c>
      <c r="F164" s="11">
        <f>D164*E164</f>
        <v>151.25</v>
      </c>
      <c r="G164" s="11">
        <f>ROUND(F164*'Inputs &amp; notes'!$B$3,2)</f>
        <v>11.34</v>
      </c>
      <c r="H164" s="11">
        <f>F164+G164</f>
        <v>162.59</v>
      </c>
    </row>
    <row r="165" spans="1:8" x14ac:dyDescent="0.25">
      <c r="A165" s="12" t="s">
        <v>187</v>
      </c>
      <c r="B165" s="13">
        <v>46184</v>
      </c>
      <c r="C165" s="12" t="s">
        <v>25</v>
      </c>
      <c r="D165" s="12">
        <v>1</v>
      </c>
      <c r="E165" s="14">
        <v>15</v>
      </c>
      <c r="F165" s="14">
        <f>D165*E165</f>
        <v>15</v>
      </c>
      <c r="G165" s="14">
        <f>ROUND(F165*'Inputs &amp; notes'!$B$3,2)</f>
        <v>1.13</v>
      </c>
      <c r="H165" s="14">
        <f>F165+G165</f>
        <v>16.13</v>
      </c>
    </row>
    <row r="166" spans="1:8" x14ac:dyDescent="0.25">
      <c r="A166" s="8" t="s">
        <v>188</v>
      </c>
      <c r="B166" s="9">
        <v>46185</v>
      </c>
      <c r="C166" s="8" t="s">
        <v>27</v>
      </c>
      <c r="D166" s="8">
        <v>2</v>
      </c>
      <c r="E166" s="11">
        <v>16.25</v>
      </c>
      <c r="F166" s="11">
        <f>D166*E166</f>
        <v>32.5</v>
      </c>
      <c r="G166" s="11">
        <f>ROUND(F166*'Inputs &amp; notes'!$B$3,2)</f>
        <v>2.44</v>
      </c>
      <c r="H166" s="11">
        <f>F166+G166</f>
        <v>34.94</v>
      </c>
    </row>
    <row r="167" spans="1:8" x14ac:dyDescent="0.25">
      <c r="A167" s="12" t="s">
        <v>189</v>
      </c>
      <c r="B167" s="13">
        <v>46186</v>
      </c>
      <c r="C167" s="12" t="s">
        <v>29</v>
      </c>
      <c r="D167" s="12">
        <v>3</v>
      </c>
      <c r="E167" s="14">
        <v>17.5</v>
      </c>
      <c r="F167" s="14">
        <f>D167*E167</f>
        <v>52.5</v>
      </c>
      <c r="G167" s="14">
        <f>ROUND(F167*'Inputs &amp; notes'!$B$3,2)</f>
        <v>3.94</v>
      </c>
      <c r="H167" s="14">
        <f>F167+G167</f>
        <v>56.44</v>
      </c>
    </row>
    <row r="168" spans="1:8" x14ac:dyDescent="0.25">
      <c r="A168" s="8" t="s">
        <v>190</v>
      </c>
      <c r="B168" s="9">
        <v>46187</v>
      </c>
      <c r="C168" s="8" t="s">
        <v>23</v>
      </c>
      <c r="D168" s="8">
        <v>4</v>
      </c>
      <c r="E168" s="11">
        <v>10</v>
      </c>
      <c r="F168" s="11">
        <f>D168*E168</f>
        <v>40</v>
      </c>
      <c r="G168" s="11">
        <f>ROUND(F168*'Inputs &amp; notes'!$B$3,2)</f>
        <v>3</v>
      </c>
      <c r="H168" s="11">
        <f>F168+G168</f>
        <v>43</v>
      </c>
    </row>
    <row r="169" spans="1:8" x14ac:dyDescent="0.25">
      <c r="A169" s="12" t="s">
        <v>191</v>
      </c>
      <c r="B169" s="13">
        <v>46188</v>
      </c>
      <c r="C169" s="12" t="s">
        <v>25</v>
      </c>
      <c r="D169" s="12">
        <v>5</v>
      </c>
      <c r="E169" s="14">
        <v>11.25</v>
      </c>
      <c r="F169" s="14">
        <f>D169*E169</f>
        <v>56.25</v>
      </c>
      <c r="G169" s="14">
        <f>ROUND(F169*'Inputs &amp; notes'!$B$3,2)</f>
        <v>4.22</v>
      </c>
      <c r="H169" s="14">
        <f>F169+G169</f>
        <v>60.47</v>
      </c>
    </row>
    <row r="170" spans="1:8" x14ac:dyDescent="0.25">
      <c r="A170" s="8" t="s">
        <v>192</v>
      </c>
      <c r="B170" s="9">
        <v>46189</v>
      </c>
      <c r="C170" s="8" t="s">
        <v>27</v>
      </c>
      <c r="D170" s="8">
        <v>6</v>
      </c>
      <c r="E170" s="11">
        <v>12.5</v>
      </c>
      <c r="F170" s="11">
        <f>D170*E170</f>
        <v>75</v>
      </c>
      <c r="G170" s="11">
        <f>ROUND(F170*'Inputs &amp; notes'!$B$3,2)</f>
        <v>5.63</v>
      </c>
      <c r="H170" s="11">
        <f>F170+G170</f>
        <v>80.63</v>
      </c>
    </row>
    <row r="171" spans="1:8" x14ac:dyDescent="0.25">
      <c r="A171" s="12" t="s">
        <v>193</v>
      </c>
      <c r="B171" s="13">
        <v>46190</v>
      </c>
      <c r="C171" s="12" t="s">
        <v>29</v>
      </c>
      <c r="D171" s="12">
        <v>7</v>
      </c>
      <c r="E171" s="14">
        <v>13.75</v>
      </c>
      <c r="F171" s="14">
        <f>D171*E171</f>
        <v>96.25</v>
      </c>
      <c r="G171" s="14">
        <f>ROUND(F171*'Inputs &amp; notes'!$B$3,2)</f>
        <v>7.22</v>
      </c>
      <c r="H171" s="14">
        <f>F171+G171</f>
        <v>103.47</v>
      </c>
    </row>
    <row r="172" spans="1:8" x14ac:dyDescent="0.25">
      <c r="A172" s="8" t="s">
        <v>194</v>
      </c>
      <c r="B172" s="9">
        <v>46191</v>
      </c>
      <c r="C172" s="8" t="s">
        <v>23</v>
      </c>
      <c r="D172" s="8">
        <v>8</v>
      </c>
      <c r="E172" s="11">
        <v>15</v>
      </c>
      <c r="F172" s="11">
        <f>D172*E172</f>
        <v>120</v>
      </c>
      <c r="G172" s="11">
        <f>ROUND(F172*'Inputs &amp; notes'!$B$3,2)</f>
        <v>9</v>
      </c>
      <c r="H172" s="11">
        <f>F172+G172</f>
        <v>129</v>
      </c>
    </row>
    <row r="173" spans="1:8" x14ac:dyDescent="0.25">
      <c r="A173" s="12" t="s">
        <v>195</v>
      </c>
      <c r="B173" s="13">
        <v>46192</v>
      </c>
      <c r="C173" s="12" t="s">
        <v>25</v>
      </c>
      <c r="D173" s="12">
        <v>9</v>
      </c>
      <c r="E173" s="14">
        <v>16.25</v>
      </c>
      <c r="F173" s="14">
        <f>D173*E173</f>
        <v>146.25</v>
      </c>
      <c r="G173" s="14">
        <f>ROUND(F173*'Inputs &amp; notes'!$B$3,2)</f>
        <v>10.97</v>
      </c>
      <c r="H173" s="14">
        <f>F173+G173</f>
        <v>157.22</v>
      </c>
    </row>
    <row r="174" spans="1:8" x14ac:dyDescent="0.25">
      <c r="A174" s="8" t="s">
        <v>196</v>
      </c>
      <c r="B174" s="9">
        <v>46193</v>
      </c>
      <c r="C174" s="8" t="s">
        <v>27</v>
      </c>
      <c r="D174" s="8">
        <v>10</v>
      </c>
      <c r="E174" s="11">
        <v>17.5</v>
      </c>
      <c r="F174" s="11">
        <f>D174*E174</f>
        <v>175</v>
      </c>
      <c r="G174" s="11">
        <f>ROUND(F174*'Inputs &amp; notes'!$B$3,2)</f>
        <v>13.13</v>
      </c>
      <c r="H174" s="11">
        <f>F174+G174</f>
        <v>188.13</v>
      </c>
    </row>
    <row r="175" spans="1:8" x14ac:dyDescent="0.25">
      <c r="A175" s="12" t="s">
        <v>197</v>
      </c>
      <c r="B175" s="13">
        <v>46194</v>
      </c>
      <c r="C175" s="12" t="s">
        <v>29</v>
      </c>
      <c r="D175" s="12">
        <v>11</v>
      </c>
      <c r="E175" s="14">
        <v>10</v>
      </c>
      <c r="F175" s="14">
        <f>D175*E175</f>
        <v>110</v>
      </c>
      <c r="G175" s="14">
        <f>ROUND(F175*'Inputs &amp; notes'!$B$3,2)</f>
        <v>8.25</v>
      </c>
      <c r="H175" s="14">
        <f>F175+G175</f>
        <v>118.25</v>
      </c>
    </row>
    <row r="176" spans="1:8" x14ac:dyDescent="0.25">
      <c r="A176" s="8" t="s">
        <v>198</v>
      </c>
      <c r="B176" s="9">
        <v>46195</v>
      </c>
      <c r="C176" s="8" t="s">
        <v>23</v>
      </c>
      <c r="D176" s="8">
        <v>1</v>
      </c>
      <c r="E176" s="11">
        <v>11.25</v>
      </c>
      <c r="F176" s="11">
        <f>D176*E176</f>
        <v>11.25</v>
      </c>
      <c r="G176" s="11">
        <f>ROUND(F176*'Inputs &amp; notes'!$B$3,2)</f>
        <v>0.84</v>
      </c>
      <c r="H176" s="11">
        <f>F176+G176</f>
        <v>12.09</v>
      </c>
    </row>
    <row r="177" spans="1:8" x14ac:dyDescent="0.25">
      <c r="A177" s="12" t="s">
        <v>199</v>
      </c>
      <c r="B177" s="13">
        <v>46196</v>
      </c>
      <c r="C177" s="12" t="s">
        <v>25</v>
      </c>
      <c r="D177" s="12">
        <v>2</v>
      </c>
      <c r="E177" s="14">
        <v>12.5</v>
      </c>
      <c r="F177" s="14">
        <f>D177*E177</f>
        <v>25</v>
      </c>
      <c r="G177" s="14">
        <f>ROUND(F177*'Inputs &amp; notes'!$B$3,2)</f>
        <v>1.88</v>
      </c>
      <c r="H177" s="14">
        <f>F177+G177</f>
        <v>26.88</v>
      </c>
    </row>
    <row r="178" spans="1:8" x14ac:dyDescent="0.25">
      <c r="A178" s="8" t="s">
        <v>200</v>
      </c>
      <c r="B178" s="9">
        <v>46197</v>
      </c>
      <c r="C178" s="8" t="s">
        <v>27</v>
      </c>
      <c r="D178" s="8">
        <v>3</v>
      </c>
      <c r="E178" s="11">
        <v>13.75</v>
      </c>
      <c r="F178" s="11">
        <f>D178*E178</f>
        <v>41.25</v>
      </c>
      <c r="G178" s="11">
        <f>ROUND(F178*'Inputs &amp; notes'!$B$3,2)</f>
        <v>3.09</v>
      </c>
      <c r="H178" s="11">
        <f>F178+G178</f>
        <v>44.34</v>
      </c>
    </row>
    <row r="179" spans="1:8" x14ac:dyDescent="0.25">
      <c r="A179" s="12" t="s">
        <v>201</v>
      </c>
      <c r="B179" s="13">
        <v>46198</v>
      </c>
      <c r="C179" s="12" t="s">
        <v>29</v>
      </c>
      <c r="D179" s="12">
        <v>4</v>
      </c>
      <c r="E179" s="14">
        <v>15</v>
      </c>
      <c r="F179" s="14">
        <f>D179*E179</f>
        <v>60</v>
      </c>
      <c r="G179" s="14">
        <f>ROUND(F179*'Inputs &amp; notes'!$B$3,2)</f>
        <v>4.5</v>
      </c>
      <c r="H179" s="14">
        <f>F179+G179</f>
        <v>64.5</v>
      </c>
    </row>
    <row r="180" spans="1:8" x14ac:dyDescent="0.25">
      <c r="A180" s="8" t="s">
        <v>202</v>
      </c>
      <c r="B180" s="9">
        <v>46199</v>
      </c>
      <c r="C180" s="8" t="s">
        <v>23</v>
      </c>
      <c r="D180" s="8">
        <v>5</v>
      </c>
      <c r="E180" s="11">
        <v>16.25</v>
      </c>
      <c r="F180" s="11">
        <f>D180*E180</f>
        <v>81.25</v>
      </c>
      <c r="G180" s="11">
        <f>ROUND(F180*'Inputs &amp; notes'!$B$3,2)</f>
        <v>6.09</v>
      </c>
      <c r="H180" s="11">
        <f>F180+G180</f>
        <v>87.34</v>
      </c>
    </row>
    <row r="181" spans="1:8" x14ac:dyDescent="0.25">
      <c r="A181" s="12" t="s">
        <v>203</v>
      </c>
      <c r="B181" s="13">
        <v>46200</v>
      </c>
      <c r="C181" s="12" t="s">
        <v>25</v>
      </c>
      <c r="D181" s="12">
        <v>6</v>
      </c>
      <c r="E181" s="14">
        <v>17.5</v>
      </c>
      <c r="F181" s="14">
        <f>D181*E181</f>
        <v>105</v>
      </c>
      <c r="G181" s="14">
        <f>ROUND(F181*'Inputs &amp; notes'!$B$3,2)</f>
        <v>7.88</v>
      </c>
      <c r="H181" s="14">
        <f>F181+G181</f>
        <v>112.88</v>
      </c>
    </row>
    <row r="182" spans="1:8" x14ac:dyDescent="0.25">
      <c r="A182" s="8" t="s">
        <v>204</v>
      </c>
      <c r="B182" s="9">
        <v>46201</v>
      </c>
      <c r="C182" s="8" t="s">
        <v>27</v>
      </c>
      <c r="D182" s="8">
        <v>7</v>
      </c>
      <c r="E182" s="11">
        <v>10</v>
      </c>
      <c r="F182" s="11">
        <f>D182*E182</f>
        <v>70</v>
      </c>
      <c r="G182" s="11">
        <f>ROUND(F182*'Inputs &amp; notes'!$B$3,2)</f>
        <v>5.25</v>
      </c>
      <c r="H182" s="11">
        <f>F182+G182</f>
        <v>75.25</v>
      </c>
    </row>
    <row r="183" spans="1:8" x14ac:dyDescent="0.25">
      <c r="A183" s="12" t="s">
        <v>205</v>
      </c>
      <c r="B183" s="13">
        <v>46202</v>
      </c>
      <c r="C183" s="12" t="s">
        <v>29</v>
      </c>
      <c r="D183" s="12">
        <v>8</v>
      </c>
      <c r="E183" s="14">
        <v>11.25</v>
      </c>
      <c r="F183" s="14">
        <f>D183*E183</f>
        <v>90</v>
      </c>
      <c r="G183" s="14">
        <f>ROUND(F183*'Inputs &amp; notes'!$B$3,2)</f>
        <v>6.75</v>
      </c>
      <c r="H183" s="14">
        <f>F183+G183</f>
        <v>96.75</v>
      </c>
    </row>
    <row r="184" spans="1:8" x14ac:dyDescent="0.25">
      <c r="A184" s="8" t="s">
        <v>206</v>
      </c>
      <c r="B184" s="9">
        <v>46203</v>
      </c>
      <c r="C184" s="8" t="s">
        <v>23</v>
      </c>
      <c r="D184" s="8">
        <v>9</v>
      </c>
      <c r="E184" s="11">
        <v>12.5</v>
      </c>
      <c r="F184" s="11">
        <f>D184*E184</f>
        <v>112.5</v>
      </c>
      <c r="G184" s="11">
        <f>ROUND(F184*'Inputs &amp; notes'!$B$3,2)</f>
        <v>8.44</v>
      </c>
      <c r="H184" s="11">
        <f>F184+G184</f>
        <v>120.94</v>
      </c>
    </row>
    <row r="185" spans="1:8" x14ac:dyDescent="0.25">
      <c r="A185" s="12" t="s">
        <v>207</v>
      </c>
      <c r="B185" s="13">
        <v>46204</v>
      </c>
      <c r="C185" s="12" t="s">
        <v>25</v>
      </c>
      <c r="D185" s="12">
        <v>10</v>
      </c>
      <c r="E185" s="14">
        <v>13.75</v>
      </c>
      <c r="F185" s="14">
        <f>D185*E185</f>
        <v>137.5</v>
      </c>
      <c r="G185" s="14">
        <f>ROUND(F185*'Inputs &amp; notes'!$B$3,2)</f>
        <v>10.31</v>
      </c>
      <c r="H185" s="14">
        <f>F185+G185</f>
        <v>147.81</v>
      </c>
    </row>
    <row r="186" spans="1:8" x14ac:dyDescent="0.25">
      <c r="A186" s="8" t="s">
        <v>208</v>
      </c>
      <c r="B186" s="9">
        <v>46205</v>
      </c>
      <c r="C186" s="8" t="s">
        <v>27</v>
      </c>
      <c r="D186" s="8">
        <v>11</v>
      </c>
      <c r="E186" s="11">
        <v>15</v>
      </c>
      <c r="F186" s="11">
        <f>D186*E186</f>
        <v>165</v>
      </c>
      <c r="G186" s="11">
        <f>ROUND(F186*'Inputs &amp; notes'!$B$3,2)</f>
        <v>12.38</v>
      </c>
      <c r="H186" s="11">
        <f>F186+G186</f>
        <v>177.38</v>
      </c>
    </row>
    <row r="187" spans="1:8" x14ac:dyDescent="0.25">
      <c r="A187" s="12" t="s">
        <v>209</v>
      </c>
      <c r="B187" s="13">
        <v>46206</v>
      </c>
      <c r="C187" s="12" t="s">
        <v>29</v>
      </c>
      <c r="D187" s="12">
        <v>1</v>
      </c>
      <c r="E187" s="14">
        <v>16.25</v>
      </c>
      <c r="F187" s="14">
        <f>D187*E187</f>
        <v>16.25</v>
      </c>
      <c r="G187" s="14">
        <f>ROUND(F187*'Inputs &amp; notes'!$B$3,2)</f>
        <v>1.22</v>
      </c>
      <c r="H187" s="14">
        <f>F187+G187</f>
        <v>17.47</v>
      </c>
    </row>
    <row r="188" spans="1:8" x14ac:dyDescent="0.25">
      <c r="A188" s="8" t="s">
        <v>210</v>
      </c>
      <c r="B188" s="9">
        <v>46207</v>
      </c>
      <c r="C188" s="8" t="s">
        <v>23</v>
      </c>
      <c r="D188" s="8">
        <v>2</v>
      </c>
      <c r="E188" s="11">
        <v>17.5</v>
      </c>
      <c r="F188" s="11">
        <f>D188*E188</f>
        <v>35</v>
      </c>
      <c r="G188" s="11">
        <f>ROUND(F188*'Inputs &amp; notes'!$B$3,2)</f>
        <v>2.63</v>
      </c>
      <c r="H188" s="11">
        <f>F188+G188</f>
        <v>37.63</v>
      </c>
    </row>
    <row r="189" spans="1:8" x14ac:dyDescent="0.25">
      <c r="A189" s="12" t="s">
        <v>211</v>
      </c>
      <c r="B189" s="13">
        <v>46208</v>
      </c>
      <c r="C189" s="12" t="s">
        <v>25</v>
      </c>
      <c r="D189" s="12">
        <v>3</v>
      </c>
      <c r="E189" s="14">
        <v>10</v>
      </c>
      <c r="F189" s="14">
        <f>D189*E189</f>
        <v>30</v>
      </c>
      <c r="G189" s="14">
        <f>ROUND(F189*'Inputs &amp; notes'!$B$3,2)</f>
        <v>2.25</v>
      </c>
      <c r="H189" s="14">
        <f>F189+G189</f>
        <v>32.25</v>
      </c>
    </row>
    <row r="190" spans="1:8" x14ac:dyDescent="0.25">
      <c r="A190" s="8" t="s">
        <v>212</v>
      </c>
      <c r="B190" s="9">
        <v>46209</v>
      </c>
      <c r="C190" s="8" t="s">
        <v>27</v>
      </c>
      <c r="D190" s="8">
        <v>4</v>
      </c>
      <c r="E190" s="11">
        <v>11.25</v>
      </c>
      <c r="F190" s="11">
        <f>D190*E190</f>
        <v>45</v>
      </c>
      <c r="G190" s="11">
        <f>ROUND(F190*'Inputs &amp; notes'!$B$3,2)</f>
        <v>3.38</v>
      </c>
      <c r="H190" s="11">
        <f>F190+G190</f>
        <v>48.38</v>
      </c>
    </row>
    <row r="191" spans="1:8" x14ac:dyDescent="0.25">
      <c r="A191" s="12" t="s">
        <v>213</v>
      </c>
      <c r="B191" s="13">
        <v>46210</v>
      </c>
      <c r="C191" s="12" t="s">
        <v>29</v>
      </c>
      <c r="D191" s="12">
        <v>5</v>
      </c>
      <c r="E191" s="14">
        <v>12.5</v>
      </c>
      <c r="F191" s="14">
        <f>D191*E191</f>
        <v>62.5</v>
      </c>
      <c r="G191" s="14">
        <f>ROUND(F191*'Inputs &amp; notes'!$B$3,2)</f>
        <v>4.69</v>
      </c>
      <c r="H191" s="14">
        <f>F191+G191</f>
        <v>67.19</v>
      </c>
    </row>
    <row r="192" spans="1:8" x14ac:dyDescent="0.25">
      <c r="A192" s="8" t="s">
        <v>214</v>
      </c>
      <c r="B192" s="9">
        <v>46211</v>
      </c>
      <c r="C192" s="8" t="s">
        <v>23</v>
      </c>
      <c r="D192" s="8">
        <v>6</v>
      </c>
      <c r="E192" s="11">
        <v>13.75</v>
      </c>
      <c r="F192" s="11">
        <f>D192*E192</f>
        <v>82.5</v>
      </c>
      <c r="G192" s="11">
        <f>ROUND(F192*'Inputs &amp; notes'!$B$3,2)</f>
        <v>6.19</v>
      </c>
      <c r="H192" s="11">
        <f>F192+G192</f>
        <v>88.69</v>
      </c>
    </row>
    <row r="193" spans="1:8" x14ac:dyDescent="0.25">
      <c r="A193" s="12" t="s">
        <v>215</v>
      </c>
      <c r="B193" s="13">
        <v>46212</v>
      </c>
      <c r="C193" s="12" t="s">
        <v>25</v>
      </c>
      <c r="D193" s="12">
        <v>7</v>
      </c>
      <c r="E193" s="14">
        <v>15</v>
      </c>
      <c r="F193" s="14">
        <f>D193*E193</f>
        <v>105</v>
      </c>
      <c r="G193" s="14">
        <f>ROUND(F193*'Inputs &amp; notes'!$B$3,2)</f>
        <v>7.88</v>
      </c>
      <c r="H193" s="14">
        <f>F193+G193</f>
        <v>112.88</v>
      </c>
    </row>
    <row r="194" spans="1:8" x14ac:dyDescent="0.25">
      <c r="A194" s="8" t="s">
        <v>216</v>
      </c>
      <c r="B194" s="9">
        <v>46213</v>
      </c>
      <c r="C194" s="8" t="s">
        <v>27</v>
      </c>
      <c r="D194" s="8">
        <v>8</v>
      </c>
      <c r="E194" s="11">
        <v>16.25</v>
      </c>
      <c r="F194" s="11">
        <f>D194*E194</f>
        <v>130</v>
      </c>
      <c r="G194" s="11">
        <f>ROUND(F194*'Inputs &amp; notes'!$B$3,2)</f>
        <v>9.75</v>
      </c>
      <c r="H194" s="11">
        <f>F194+G194</f>
        <v>139.75</v>
      </c>
    </row>
    <row r="195" spans="1:8" x14ac:dyDescent="0.25">
      <c r="A195" s="12" t="s">
        <v>217</v>
      </c>
      <c r="B195" s="13">
        <v>46214</v>
      </c>
      <c r="C195" s="12" t="s">
        <v>29</v>
      </c>
      <c r="D195" s="12">
        <v>9</v>
      </c>
      <c r="E195" s="14">
        <v>17.5</v>
      </c>
      <c r="F195" s="14">
        <f>D195*E195</f>
        <v>157.5</v>
      </c>
      <c r="G195" s="14">
        <f>ROUND(F195*'Inputs &amp; notes'!$B$3,2)</f>
        <v>11.81</v>
      </c>
      <c r="H195" s="14">
        <f>F195+G195</f>
        <v>169.31</v>
      </c>
    </row>
    <row r="196" spans="1:8" x14ac:dyDescent="0.25">
      <c r="A196" s="8" t="s">
        <v>218</v>
      </c>
      <c r="B196" s="9">
        <v>46215</v>
      </c>
      <c r="C196" s="8" t="s">
        <v>23</v>
      </c>
      <c r="D196" s="8">
        <v>10</v>
      </c>
      <c r="E196" s="11">
        <v>10</v>
      </c>
      <c r="F196" s="11">
        <f>D196*E196</f>
        <v>100</v>
      </c>
      <c r="G196" s="11">
        <f>ROUND(F196*'Inputs &amp; notes'!$B$3,2)</f>
        <v>7.5</v>
      </c>
      <c r="H196" s="11">
        <f>F196+G196</f>
        <v>107.5</v>
      </c>
    </row>
    <row r="197" spans="1:8" x14ac:dyDescent="0.25">
      <c r="A197" s="12" t="s">
        <v>219</v>
      </c>
      <c r="B197" s="13">
        <v>46216</v>
      </c>
      <c r="C197" s="12" t="s">
        <v>25</v>
      </c>
      <c r="D197" s="12">
        <v>11</v>
      </c>
      <c r="E197" s="14">
        <v>11.25</v>
      </c>
      <c r="F197" s="14">
        <f>D197*E197</f>
        <v>123.75</v>
      </c>
      <c r="G197" s="14">
        <f>ROUND(F197*'Inputs &amp; notes'!$B$3,2)</f>
        <v>9.28</v>
      </c>
      <c r="H197" s="14">
        <f>F197+G197</f>
        <v>133.03</v>
      </c>
    </row>
    <row r="198" spans="1:8" x14ac:dyDescent="0.25">
      <c r="A198" s="8" t="s">
        <v>220</v>
      </c>
      <c r="B198" s="9">
        <v>46217</v>
      </c>
      <c r="C198" s="8" t="s">
        <v>27</v>
      </c>
      <c r="D198" s="8">
        <v>1</v>
      </c>
      <c r="E198" s="11">
        <v>12.5</v>
      </c>
      <c r="F198" s="11">
        <f>D198*E198</f>
        <v>12.5</v>
      </c>
      <c r="G198" s="11">
        <f>ROUND(F198*'Inputs &amp; notes'!$B$3,2)</f>
        <v>0.94</v>
      </c>
      <c r="H198" s="11">
        <f>F198+G198</f>
        <v>13.44</v>
      </c>
    </row>
    <row r="199" spans="1:8" x14ac:dyDescent="0.25">
      <c r="A199" s="12" t="s">
        <v>221</v>
      </c>
      <c r="B199" s="13">
        <v>46218</v>
      </c>
      <c r="C199" s="12" t="s">
        <v>29</v>
      </c>
      <c r="D199" s="12">
        <v>2</v>
      </c>
      <c r="E199" s="14">
        <v>13.75</v>
      </c>
      <c r="F199" s="14">
        <f>D199*E199</f>
        <v>27.5</v>
      </c>
      <c r="G199" s="14">
        <f>ROUND(F199*'Inputs &amp; notes'!$B$3,2)</f>
        <v>2.06</v>
      </c>
      <c r="H199" s="14">
        <f>F199+G199</f>
        <v>29.56</v>
      </c>
    </row>
    <row r="200" spans="1:8" x14ac:dyDescent="0.25">
      <c r="A200" s="8" t="s">
        <v>222</v>
      </c>
      <c r="B200" s="9">
        <v>46219</v>
      </c>
      <c r="C200" s="8" t="s">
        <v>23</v>
      </c>
      <c r="D200" s="8">
        <v>3</v>
      </c>
      <c r="E200" s="11">
        <v>15</v>
      </c>
      <c r="F200" s="11">
        <f>D200*E200</f>
        <v>45</v>
      </c>
      <c r="G200" s="11">
        <f>ROUND(F200*'Inputs &amp; notes'!$B$3,2)</f>
        <v>3.38</v>
      </c>
      <c r="H200" s="11">
        <f>F200+G200</f>
        <v>48.38</v>
      </c>
    </row>
    <row r="201" spans="1:8" x14ac:dyDescent="0.25">
      <c r="A201" s="12" t="s">
        <v>223</v>
      </c>
      <c r="B201" s="13">
        <v>46220</v>
      </c>
      <c r="C201" s="12" t="s">
        <v>25</v>
      </c>
      <c r="D201" s="12">
        <v>4</v>
      </c>
      <c r="E201" s="14">
        <v>16.25</v>
      </c>
      <c r="F201" s="14">
        <f>D201*E201</f>
        <v>65</v>
      </c>
      <c r="G201" s="14">
        <f>ROUND(F201*'Inputs &amp; notes'!$B$3,2)</f>
        <v>4.88</v>
      </c>
      <c r="H201" s="14">
        <f>F201+G201</f>
        <v>69.88</v>
      </c>
    </row>
    <row r="202" spans="1:8" x14ac:dyDescent="0.25">
      <c r="A202" s="8" t="s">
        <v>224</v>
      </c>
      <c r="B202" s="9">
        <v>46221</v>
      </c>
      <c r="C202" s="8" t="s">
        <v>27</v>
      </c>
      <c r="D202" s="8">
        <v>5</v>
      </c>
      <c r="E202" s="11">
        <v>17.5</v>
      </c>
      <c r="F202" s="11">
        <f>D202*E202</f>
        <v>87.5</v>
      </c>
      <c r="G202" s="11">
        <f>ROUND(F202*'Inputs &amp; notes'!$B$3,2)</f>
        <v>6.56</v>
      </c>
      <c r="H202" s="11">
        <f>F202+G202</f>
        <v>94.06</v>
      </c>
    </row>
    <row r="203" spans="1:8" x14ac:dyDescent="0.25">
      <c r="A203" s="12" t="s">
        <v>225</v>
      </c>
      <c r="B203" s="13">
        <v>46222</v>
      </c>
      <c r="C203" s="12" t="s">
        <v>29</v>
      </c>
      <c r="D203" s="12">
        <v>6</v>
      </c>
      <c r="E203" s="14">
        <v>10</v>
      </c>
      <c r="F203" s="14">
        <f>D203*E203</f>
        <v>60</v>
      </c>
      <c r="G203" s="14">
        <f>ROUND(F203*'Inputs &amp; notes'!$B$3,2)</f>
        <v>4.5</v>
      </c>
      <c r="H203" s="14">
        <f>F203+G203</f>
        <v>64.5</v>
      </c>
    </row>
  </sheetData>
  <mergeCells count="1">
    <mergeCell ref="A1:H2"/>
  </mergeCells>
  <pageMargins left="0.4" right="0.4" top="0.6" bottom="0.6" header="0.2" footer="0.2"/>
  <pageSetup paperSize="9" orientation="landscape" horizontalDpi="4294967295" verticalDpi="4294967295" scale="100" fitToWidth="1" fitToHeight="0" copies="1"/>
  <headerFooter>
    <oddHeader>&amp;LComplex workbook test&amp;R&amp;A</oddHeader>
    <oddFooter>&amp;LConfidential sample&amp;RPage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8" outlineLevelRow="0" outlineLevelCol="0" x14ac:dyDescent="55" defaultColWidth="12" customHeight="1"/>
  <cols>
    <col min="1" max="1" width="22" customWidth="1"/>
    <col min="2" max="2" width="19" customWidth="1"/>
    <col min="3" max="6" width="13" customWidth="1"/>
  </cols>
  <sheetData>
    <row r="1" ht="23" customHeight="1" spans="1:6" x14ac:dyDescent="0.25">
      <c r="A1" s="1" t="s">
        <v>226</v>
      </c>
      <c r="B1" s="1"/>
      <c r="C1" s="1"/>
      <c r="D1" s="1"/>
      <c r="E1" s="1"/>
      <c r="F1" s="1"/>
    </row>
    <row r="2" ht="23" customHeight="1" spans="1:6" x14ac:dyDescent="0.25">
      <c r="A2" s="1"/>
      <c r="B2" s="1"/>
      <c r="C2" s="1"/>
      <c r="D2" s="1"/>
      <c r="E2" s="1"/>
      <c r="F2" s="1"/>
    </row>
    <row r="3" spans="1:2" x14ac:dyDescent="0.25">
      <c r="A3" s="2" t="s">
        <v>227</v>
      </c>
      <c r="B3" s="15">
        <v>0.075</v>
      </c>
    </row>
    <row r="5" ht="27" customHeight="1" spans="1:6" x14ac:dyDescent="0.25">
      <c r="A5" s="2" t="s">
        <v>228</v>
      </c>
      <c r="B5" s="16" t="s">
        <v>229</v>
      </c>
      <c r="C5" s="16"/>
      <c r="D5" s="16"/>
      <c r="E5" s="16"/>
      <c r="F5" s="16"/>
    </row>
    <row r="6" ht="27" customHeight="1" spans="1:6" x14ac:dyDescent="0.25">
      <c r="A6" s="2" t="s">
        <v>230</v>
      </c>
      <c r="B6" s="17" t="s">
        <v>231</v>
      </c>
      <c r="C6" s="17"/>
      <c r="D6" s="17"/>
      <c r="E6" s="17"/>
      <c r="F6" s="17"/>
    </row>
    <row r="7" ht="27" customHeight="1" spans="1:6" x14ac:dyDescent="0.25">
      <c r="A7" s="2" t="s">
        <v>232</v>
      </c>
      <c r="B7" s="18" t="s">
        <v>233</v>
      </c>
      <c r="C7" s="18"/>
      <c r="D7" s="18"/>
      <c r="E7" s="18"/>
      <c r="F7" s="18"/>
    </row>
    <row r="9" ht="12" customHeight="1" spans="1:2" x14ac:dyDescent="0.25">
      <c r="A9" s="2" t="s">
        <v>234</v>
      </c>
      <c r="B9" s="19">
        <v>12345.67</v>
      </c>
    </row>
    <row r="10" ht="30" customHeight="1" spans="1:2" x14ac:dyDescent="0.25">
      <c r="A10" s="2" t="s">
        <v>235</v>
      </c>
      <c r="B10" s="20">
        <v>89012.34</v>
      </c>
    </row>
    <row r="11" spans="1:2" x14ac:dyDescent="0.25">
      <c r="A11" s="2" t="s">
        <v>236</v>
      </c>
      <c r="B11" s="21" t="s">
        <v>237</v>
      </c>
    </row>
    <row r="12" spans="1:2" x14ac:dyDescent="0.25">
      <c r="A12" s="2" t="s">
        <v>238</v>
      </c>
      <c r="B12" s="2" t="e">
        <v>#DIV/0!</v>
      </c>
    </row>
    <row r="13" spans="1:2" x14ac:dyDescent="0.25">
      <c r="A13" s="2" t="s">
        <v>239</v>
      </c>
      <c r="B13" s="2" t="b">
        <v>0</v>
      </c>
    </row>
    <row r="14" ht="30" customHeight="1" spans="1:2" x14ac:dyDescent="0.25">
      <c r="A14" s="2" t="s">
        <v>240</v>
      </c>
      <c r="B14" s="22" t="s">
        <v>241</v>
      </c>
    </row>
    <row r="16" ht="24" customHeight="1" spans="1:6" x14ac:dyDescent="0.25">
      <c r="A16" s="23" t="s">
        <v>242</v>
      </c>
      <c r="B16" s="23"/>
      <c r="C16" s="23"/>
      <c r="D16" s="23"/>
      <c r="E16" s="23"/>
      <c r="F16" s="23"/>
    </row>
    <row r="17" ht="24" customHeight="1" spans="1:6" x14ac:dyDescent="0.25">
      <c r="A17" s="23"/>
      <c r="B17" s="23"/>
      <c r="C17" s="23"/>
      <c r="D17" s="23"/>
      <c r="E17" s="23"/>
      <c r="F17" s="23"/>
    </row>
    <row r="18" ht="24" customHeight="1" spans="1:6" x14ac:dyDescent="0.25">
      <c r="A18" s="23"/>
      <c r="B18" s="23"/>
      <c r="C18" s="23"/>
      <c r="D18" s="23"/>
      <c r="E18" s="23"/>
      <c r="F18" s="23"/>
    </row>
  </sheetData>
  <mergeCells count="5">
    <mergeCell ref="A1:F2"/>
    <mergeCell ref="B5:F5"/>
    <mergeCell ref="B6:F6"/>
    <mergeCell ref="B7:F7"/>
    <mergeCell ref="A16:F18"/>
  </mergeCells>
  <pageMargins left="0.4" right="0.4" top="0.6" bottom="0.6" header="0.2" footer="0.2"/>
  <pageSetup paperSize="1" orientation="portrait" horizontalDpi="4294967295" verticalDpi="4294967295" scale="100" fitToWidth="1" fitToHeight="0" copies="1"/>
  <headerFooter>
    <oddHeader>&amp;LComplex workbook test&amp;R&amp;A</oddHeader>
    <oddFooter>&amp;LConfidential sample&amp;RPage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8" outlineLevelRow="0" outlineLevelCol="0" x14ac:dyDescent="55" defaultColWidth="12" customHeight="1"/>
  <sheetData>
    <row r="1" spans="1:2" x14ac:dyDescent="0.25">
      <c r="A1" t="s">
        <v>243</v>
      </c>
      <c r="B1">
        <f>Summary!B9</f>
        <v>0</v>
      </c>
    </row>
  </sheetData>
  <pageMargins left="0.4" right="0.4" top="0.6" bottom="0.6" header="0.2" footer="0.2"/>
  <pageSetup paperSize="9" orientation="portrait" horizontalDpi="4294967295" verticalDpi="4294967295" scale="100" fitToWidth="1" fitToHeight="0" copies="1"/>
  <headerFooter>
    <oddHeader>&amp;LComplex workbook test&amp;R&amp;A</oddHeader>
    <oddFooter>&amp;LConfidential sample&amp;RPage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Inputs &amp; notes</vt:lpstr>
      <vt:lpstr>Audit 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 QA</dc:creator>
  <dc:title/>
  <dc:subject/>
  <dc:description/>
  <cp:keywords/>
  <cp:category/>
  <cp:lastModifiedBy>Unknown</cp:lastModifiedBy>
  <dcterms:created xsi:type="dcterms:W3CDTF">2026-09-05T12:27:38Z</dcterms:created>
  <dcterms:modified xsi:type="dcterms:W3CDTF">2026-09-05T12:27:38Z</dcterms:modified>
</cp:coreProperties>
</file>